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GitHub\HCP-Analyses\"/>
    </mc:Choice>
  </mc:AlternateContent>
  <xr:revisionPtr revIDLastSave="0" documentId="13_ncr:1_{DE3BED91-EC08-4523-8E25-77AE3B41D20B}" xr6:coauthVersionLast="47" xr6:coauthVersionMax="47" xr10:uidLastSave="{00000000-0000-0000-0000-000000000000}"/>
  <bookViews>
    <workbookView xWindow="-38520" yWindow="-120" windowWidth="38640" windowHeight="21120" xr2:uid="{D49F6A14-80BC-4451-AE46-CB99FB95DAA9}"/>
  </bookViews>
  <sheets>
    <sheet name="RegressionDetailResults_v2" sheetId="1" r:id="rId1"/>
  </sheets>
  <definedNames>
    <definedName name="_xlnm._FilterDatabase" localSheetId="0" hidden="1">RegressionDetailResults_v2!$A$1:$Q$146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" i="1" l="1"/>
  <c r="Q95" i="1"/>
  <c r="Q94" i="1"/>
  <c r="Q93" i="1"/>
  <c r="Q92" i="1"/>
  <c r="Q91" i="1"/>
  <c r="Q89" i="1"/>
  <c r="Q88" i="1"/>
  <c r="Q87" i="1"/>
  <c r="Q86" i="1"/>
  <c r="Q85" i="1"/>
  <c r="Q84" i="1"/>
  <c r="Q82" i="1"/>
  <c r="Q79" i="1"/>
  <c r="Q78" i="1"/>
  <c r="Q77" i="1"/>
  <c r="Q76" i="1"/>
  <c r="Q75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23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6" i="1"/>
  <c r="O76" i="1"/>
  <c r="P76" i="1"/>
  <c r="N77" i="1"/>
  <c r="O77" i="1"/>
  <c r="P77" i="1"/>
  <c r="N78" i="1"/>
  <c r="O78" i="1"/>
  <c r="P78" i="1"/>
  <c r="N79" i="1"/>
  <c r="O79" i="1"/>
  <c r="P79" i="1"/>
  <c r="N82" i="1"/>
  <c r="O82" i="1"/>
  <c r="P82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2" i="1"/>
  <c r="Q2" i="1"/>
  <c r="P2" i="1"/>
  <c r="O2" i="1"/>
</calcChain>
</file>

<file path=xl/sharedStrings.xml><?xml version="1.0" encoding="utf-8"?>
<sst xmlns="http://schemas.openxmlformats.org/spreadsheetml/2006/main" count="529" uniqueCount="51">
  <si>
    <t>Estimate</t>
  </si>
  <si>
    <t>Std. Error</t>
  </si>
  <si>
    <t>t value</t>
  </si>
  <si>
    <t>Pr(&gt;|t|)</t>
  </si>
  <si>
    <t>variable_name</t>
  </si>
  <si>
    <t>Cohens_f2_partial_vec</t>
  </si>
  <si>
    <t>Eta2_partial_vec</t>
  </si>
  <si>
    <t>r2_partial_vec</t>
  </si>
  <si>
    <t>power</t>
  </si>
  <si>
    <t>label_col_1</t>
  </si>
  <si>
    <t>label_col_2</t>
  </si>
  <si>
    <t>label_col_3</t>
  </si>
  <si>
    <t>label_col_4</t>
  </si>
  <si>
    <t>(Intercept)</t>
  </si>
  <si>
    <t>NA</t>
  </si>
  <si>
    <t>function (lambda = 1) _x000D_
{_x000D_
    if (!is.numeric(lambda) || is.na(lambda)) _x000D_
        stop("invalid argument 'lambda'")_x000D_
    if (lambda &lt;= 0) _x000D_
        return(make.link("log"))_x000D_
    if (lambda == 1) _x000D_
        return(make.link("identity"))_x000D_
    linkfun &lt;- function(mu) mu^lambda_x000D_
    linkinv &lt;- function(eta) pmax(eta^(1/lambda), .Machine$double.eps)_x000D_
    mu.eta &lt;- function(eta) pmax((1/lambda) * eta^(1/lambda - 1), .Machine$double.eps)_x000D_
    valideta &lt;- function(eta) all(is.finite(eta)) &amp;&amp; all(eta &gt; 0)_x000D_
    link &lt;- paste0("mu^", round(lambda, 3))_x000D_
    structure(list(linkfun = linkfun, linkinv = linkinv, mu.eta = mu.eta, valideta = valideta, name = link), class = "link-glm")_x000D_
}</t>
  </si>
  <si>
    <t>HCP</t>
  </si>
  <si>
    <t>baseline</t>
  </si>
  <si>
    <t>n_features</t>
  </si>
  <si>
    <t>n_features_log10</t>
  </si>
  <si>
    <t>n_features_sqrt</t>
  </si>
  <si>
    <t>n_features_cbrt</t>
  </si>
  <si>
    <t>classifier</t>
  </si>
  <si>
    <t>Classifier_rf</t>
  </si>
  <si>
    <t>Classifier_rr</t>
  </si>
  <si>
    <t>classifier-method</t>
  </si>
  <si>
    <t>Method_Hierarchical</t>
  </si>
  <si>
    <t>Method_rfSelected</t>
  </si>
  <si>
    <t>Method_PermutationImportance</t>
  </si>
  <si>
    <t>Method_kPCA</t>
  </si>
  <si>
    <t>Method_PCA</t>
  </si>
  <si>
    <t>Method_TSVD</t>
  </si>
  <si>
    <t>classifier-method-interaction</t>
  </si>
  <si>
    <t>Classifier_rf:Method_Hierarchical</t>
  </si>
  <si>
    <t>Classifier_rf:Method_rfSelected</t>
  </si>
  <si>
    <t>Classifier_rf:Method_PermutationImportance</t>
  </si>
  <si>
    <t>Classifier_rf:Method_kPCA</t>
  </si>
  <si>
    <t>Classifier_rf:Method_PCA</t>
  </si>
  <si>
    <t>Classifier_rf:Method_TSVD</t>
  </si>
  <si>
    <t>Classifier_rr:Method_Hierarchical</t>
  </si>
  <si>
    <t>Classifier_rr:Method_rfSelected</t>
  </si>
  <si>
    <t>Classifier_rr:Method_PermutationImportance</t>
  </si>
  <si>
    <t>Classifier_rr:Method_kPCA</t>
  </si>
  <si>
    <t>Classifier_rr:Method_PCA</t>
  </si>
  <si>
    <t>Classifier_rr:Method_TSVD</t>
  </si>
  <si>
    <t>noSVM</t>
  </si>
  <si>
    <t>UCLA</t>
  </si>
  <si>
    <r>
      <t>b</t>
    </r>
    <r>
      <rPr>
        <sz val="10"/>
        <color rgb="FF000000"/>
        <rFont val="Arial"/>
        <family val="2"/>
      </rPr>
      <t xml:space="preserve"> (SE)</t>
    </r>
  </si>
  <si>
    <t>t</t>
  </si>
  <si>
    <t>p</t>
  </si>
  <si>
    <t>η2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</si>
</sst>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horizontal="center" vertical="center"/>
    </xf>
    <xf numFmtId="164" fontId="20" fillId="0" borderId="0" xfId="0" applyNumberFormat="1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8BEA-A763-42DE-93DE-1CE88A84A31B}">
  <sheetPr filterMode="1"/>
  <dimension ref="A1:Q146"/>
  <sheetViews>
    <sheetView tabSelected="1" workbookViewId="0">
      <selection activeCell="Q91" sqref="Q91:Q96"/>
    </sheetView>
  </sheetViews>
  <sheetFormatPr defaultRowHeight="15" x14ac:dyDescent="0.25"/>
  <cols>
    <col min="5" max="5" width="29.85546875" customWidth="1"/>
    <col min="14" max="14" width="12" bestFit="1" customWidth="1"/>
    <col min="15" max="15" width="10.85546875" customWidth="1"/>
    <col min="16" max="16" width="11.42578125" customWidth="1"/>
  </cols>
  <sheetData>
    <row r="1" spans="1:1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47</v>
      </c>
      <c r="O1" s="3" t="s">
        <v>48</v>
      </c>
      <c r="P1" s="3" t="s">
        <v>49</v>
      </c>
      <c r="Q1" s="4" t="s">
        <v>50</v>
      </c>
    </row>
    <row r="2" spans="1:17" hidden="1" x14ac:dyDescent="0.25">
      <c r="A2">
        <v>0.224442968680375</v>
      </c>
      <c r="B2">
        <v>2.6355917857532499E-2</v>
      </c>
      <c r="C2">
        <v>8.5158471768506292</v>
      </c>
      <c r="D2" s="5">
        <v>2.0820125821311799E-17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  <c r="N2" t="str">
        <f>_xlfn.CONCAT(ROUND(A2,3), " (",IF(B2&lt;0.001, "&lt;0.001",ROUND(B2,3)),")")</f>
        <v>0.224 (0.026)</v>
      </c>
      <c r="O2" s="1">
        <f>ROUND(C2,3)</f>
        <v>8.516</v>
      </c>
      <c r="P2" s="2" t="str">
        <f>IF(D2&lt;0.001, "&lt;0.001",ROUND(D2,3))</f>
        <v>&lt;0.001</v>
      </c>
      <c r="Q2" s="2" t="e">
        <f>IF(F2&lt;0.001,"&lt;0.001",ROUND(F2,3))</f>
        <v>#VALUE!</v>
      </c>
    </row>
    <row r="3" spans="1:17" hidden="1" x14ac:dyDescent="0.25">
      <c r="A3" s="5">
        <v>-4.26516334410256E-5</v>
      </c>
      <c r="B3" s="5">
        <v>2.1364572781229901E-5</v>
      </c>
      <c r="C3">
        <v>-1.9963719320658599</v>
      </c>
      <c r="D3">
        <v>4.5939974814211103E-2</v>
      </c>
      <c r="E3" t="s">
        <v>18</v>
      </c>
      <c r="F3">
        <v>4.7630498954185398E-2</v>
      </c>
      <c r="G3">
        <v>4.5464979304948902E-2</v>
      </c>
      <c r="H3">
        <v>5.7551773560884901E-4</v>
      </c>
      <c r="I3">
        <v>1</v>
      </c>
      <c r="J3" t="s">
        <v>16</v>
      </c>
      <c r="K3" t="s">
        <v>17</v>
      </c>
      <c r="N3" t="str">
        <f t="shared" ref="N3:N66" si="0">_xlfn.CONCAT(ROUND(A3,3), " (",IF(B3&lt;0.001, "&lt;0.001",ROUND(B3,3)),")")</f>
        <v>0 (&lt;0.001)</v>
      </c>
      <c r="O3" s="1">
        <f t="shared" ref="O3:O66" si="1">ROUND(C3,3)</f>
        <v>-1.996</v>
      </c>
      <c r="P3" s="2">
        <f t="shared" ref="P3:P66" si="2">IF(D3&lt;0.001, "&lt;0.001",ROUND(D3,3))</f>
        <v>4.5999999999999999E-2</v>
      </c>
      <c r="Q3" s="2">
        <f t="shared" ref="Q3:Q66" si="3">IF(F3&lt;0.001,"&lt;0.001",ROUND(F3,3))</f>
        <v>4.8000000000000001E-2</v>
      </c>
    </row>
    <row r="4" spans="1:17" hidden="1" x14ac:dyDescent="0.25">
      <c r="A4">
        <v>0.401784501089816</v>
      </c>
      <c r="B4">
        <v>6.6011580267835601E-2</v>
      </c>
      <c r="C4">
        <v>6.0865760137784104</v>
      </c>
      <c r="D4" s="5">
        <v>1.2271220073920301E-9</v>
      </c>
      <c r="E4" t="s">
        <v>19</v>
      </c>
      <c r="F4">
        <v>0.139285194977704</v>
      </c>
      <c r="G4">
        <v>0.122256653199491</v>
      </c>
      <c r="H4">
        <v>5.3496072840863397E-3</v>
      </c>
      <c r="I4">
        <v>1</v>
      </c>
      <c r="J4" t="s">
        <v>16</v>
      </c>
      <c r="K4" t="s">
        <v>17</v>
      </c>
      <c r="N4" t="str">
        <f t="shared" si="0"/>
        <v>0.402 (0.066)</v>
      </c>
      <c r="O4" s="1">
        <f t="shared" si="1"/>
        <v>6.0869999999999997</v>
      </c>
      <c r="P4" s="2" t="str">
        <f t="shared" si="2"/>
        <v>&lt;0.001</v>
      </c>
      <c r="Q4" s="2">
        <f t="shared" si="3"/>
        <v>0.13900000000000001</v>
      </c>
    </row>
    <row r="5" spans="1:17" hidden="1" x14ac:dyDescent="0.25">
      <c r="A5">
        <v>2.76023462646314E-2</v>
      </c>
      <c r="B5">
        <v>1.1410601493801201E-2</v>
      </c>
      <c r="C5">
        <v>2.4190088734258399</v>
      </c>
      <c r="D5">
        <v>1.5593341323142501E-2</v>
      </c>
      <c r="E5" t="s">
        <v>20</v>
      </c>
      <c r="F5">
        <v>2.0500027337091598E-3</v>
      </c>
      <c r="G5">
        <v>2.0458088200354398E-3</v>
      </c>
      <c r="H5">
        <v>8.4498835536389605E-4</v>
      </c>
      <c r="I5">
        <v>0.79970413953921704</v>
      </c>
      <c r="J5" t="s">
        <v>16</v>
      </c>
      <c r="K5" t="s">
        <v>17</v>
      </c>
      <c r="N5" t="str">
        <f t="shared" si="0"/>
        <v>0.028 (0.011)</v>
      </c>
      <c r="O5" s="1">
        <f t="shared" si="1"/>
        <v>2.419</v>
      </c>
      <c r="P5" s="2">
        <f t="shared" si="2"/>
        <v>1.6E-2</v>
      </c>
      <c r="Q5" s="2">
        <f t="shared" si="3"/>
        <v>2E-3</v>
      </c>
    </row>
    <row r="6" spans="1:17" hidden="1" x14ac:dyDescent="0.25">
      <c r="A6">
        <v>-0.15375675452566701</v>
      </c>
      <c r="B6">
        <v>5.5525320277859599E-2</v>
      </c>
      <c r="C6">
        <v>-2.7691286381823401</v>
      </c>
      <c r="D6">
        <v>5.6384509842136998E-3</v>
      </c>
      <c r="E6" t="s">
        <v>21</v>
      </c>
      <c r="F6">
        <v>1.31799130539731E-3</v>
      </c>
      <c r="G6">
        <v>1.3162564907867799E-3</v>
      </c>
      <c r="H6">
        <v>1.1072917479396599E-3</v>
      </c>
      <c r="I6">
        <v>0.58390156252361802</v>
      </c>
      <c r="J6" t="s">
        <v>16</v>
      </c>
      <c r="K6" t="s">
        <v>17</v>
      </c>
      <c r="N6" t="str">
        <f t="shared" si="0"/>
        <v>-0.154 (0.056)</v>
      </c>
      <c r="O6" s="1">
        <f t="shared" si="1"/>
        <v>-2.7690000000000001</v>
      </c>
      <c r="P6" s="2">
        <f t="shared" si="2"/>
        <v>6.0000000000000001E-3</v>
      </c>
      <c r="Q6" s="2">
        <f t="shared" si="3"/>
        <v>1E-3</v>
      </c>
    </row>
    <row r="7" spans="1:17" hidden="1" x14ac:dyDescent="0.25">
      <c r="A7">
        <v>-0.14832232410858201</v>
      </c>
      <c r="B7">
        <v>1.12614150162079E-2</v>
      </c>
      <c r="C7">
        <v>-13.1708425535433</v>
      </c>
      <c r="D7" s="5">
        <v>4.6589810731964898E-39</v>
      </c>
      <c r="E7" t="s">
        <v>13</v>
      </c>
      <c r="F7" t="s">
        <v>14</v>
      </c>
      <c r="G7" t="s">
        <v>14</v>
      </c>
      <c r="H7" t="s">
        <v>14</v>
      </c>
      <c r="I7" t="s">
        <v>15</v>
      </c>
      <c r="J7" t="s">
        <v>16</v>
      </c>
      <c r="K7" t="s">
        <v>22</v>
      </c>
      <c r="N7" t="str">
        <f t="shared" si="0"/>
        <v>-0.148 (0.011)</v>
      </c>
      <c r="O7" s="1">
        <f t="shared" si="1"/>
        <v>-13.170999999999999</v>
      </c>
      <c r="P7" s="2" t="str">
        <f t="shared" si="2"/>
        <v>&lt;0.001</v>
      </c>
      <c r="Q7" s="2" t="e">
        <f t="shared" si="3"/>
        <v>#VALUE!</v>
      </c>
    </row>
    <row r="8" spans="1:17" hidden="1" x14ac:dyDescent="0.25">
      <c r="A8" s="5">
        <v>-4.2651633441033102E-5</v>
      </c>
      <c r="B8" s="5">
        <v>8.9435542979423597E-6</v>
      </c>
      <c r="C8">
        <v>-4.768980208556</v>
      </c>
      <c r="D8" s="5">
        <v>1.8967666915811201E-6</v>
      </c>
      <c r="E8" t="s">
        <v>18</v>
      </c>
      <c r="F8">
        <v>0.27189585047970799</v>
      </c>
      <c r="G8">
        <v>0.21377210278432801</v>
      </c>
      <c r="H8">
        <v>5.7551773560848797E-4</v>
      </c>
      <c r="I8">
        <v>1</v>
      </c>
      <c r="J8" t="s">
        <v>16</v>
      </c>
      <c r="K8" t="s">
        <v>22</v>
      </c>
      <c r="N8" t="str">
        <f t="shared" si="0"/>
        <v>0 (&lt;0.001)</v>
      </c>
      <c r="O8" s="1">
        <f t="shared" si="1"/>
        <v>-4.7690000000000001</v>
      </c>
      <c r="P8" s="2" t="str">
        <f t="shared" si="2"/>
        <v>&lt;0.001</v>
      </c>
      <c r="Q8" s="2">
        <f t="shared" si="3"/>
        <v>0.27200000000000002</v>
      </c>
    </row>
    <row r="9" spans="1:17" hidden="1" x14ac:dyDescent="0.25">
      <c r="A9">
        <v>0.40178450108984198</v>
      </c>
      <c r="B9">
        <v>2.7633510787402799E-2</v>
      </c>
      <c r="C9">
        <v>14.5397558848369</v>
      </c>
      <c r="D9" s="5">
        <v>4.5062274258493098E-47</v>
      </c>
      <c r="E9" t="s">
        <v>19</v>
      </c>
      <c r="F9">
        <v>0.79510119312673899</v>
      </c>
      <c r="G9">
        <v>0.44292834084847199</v>
      </c>
      <c r="H9">
        <v>5.34960728408707E-3</v>
      </c>
      <c r="I9">
        <v>1</v>
      </c>
      <c r="J9" t="s">
        <v>16</v>
      </c>
      <c r="K9" t="s">
        <v>22</v>
      </c>
      <c r="N9" t="str">
        <f t="shared" si="0"/>
        <v>0.402 (0.028)</v>
      </c>
      <c r="O9" s="1">
        <f t="shared" si="1"/>
        <v>14.54</v>
      </c>
      <c r="P9" s="2" t="str">
        <f t="shared" si="2"/>
        <v>&lt;0.001</v>
      </c>
      <c r="Q9" s="2">
        <f t="shared" si="3"/>
        <v>0.79500000000000004</v>
      </c>
    </row>
    <row r="10" spans="1:17" hidden="1" x14ac:dyDescent="0.25">
      <c r="A10">
        <v>2.7602346264635699E-2</v>
      </c>
      <c r="B10">
        <v>4.7766615825640098E-3</v>
      </c>
      <c r="C10">
        <v>5.7785852708073397</v>
      </c>
      <c r="D10" s="5">
        <v>7.9239200428354898E-9</v>
      </c>
      <c r="E10" t="s">
        <v>20</v>
      </c>
      <c r="F10">
        <v>1.17023178216906E-2</v>
      </c>
      <c r="G10">
        <v>1.15669576075372E-2</v>
      </c>
      <c r="H10">
        <v>8.4498835536383999E-4</v>
      </c>
      <c r="I10">
        <v>0.99999987271939605</v>
      </c>
      <c r="J10" t="s">
        <v>16</v>
      </c>
      <c r="K10" t="s">
        <v>22</v>
      </c>
      <c r="N10" t="str">
        <f t="shared" si="0"/>
        <v>0.028 (0.005)</v>
      </c>
      <c r="O10" s="1">
        <f t="shared" si="1"/>
        <v>5.7789999999999999</v>
      </c>
      <c r="P10" s="2" t="str">
        <f t="shared" si="2"/>
        <v>&lt;0.001</v>
      </c>
      <c r="Q10" s="2">
        <f t="shared" si="3"/>
        <v>1.2E-2</v>
      </c>
    </row>
    <row r="11" spans="1:17" hidden="1" x14ac:dyDescent="0.25">
      <c r="A11">
        <v>-0.15375675452568899</v>
      </c>
      <c r="B11">
        <v>2.3243793447251401E-2</v>
      </c>
      <c r="C11">
        <v>-6.6149595966174202</v>
      </c>
      <c r="D11" s="5">
        <v>4.0487033762768698E-11</v>
      </c>
      <c r="E11" t="s">
        <v>21</v>
      </c>
      <c r="F11">
        <v>7.5236744265592603E-3</v>
      </c>
      <c r="G11">
        <v>7.4674914520906199E-3</v>
      </c>
      <c r="H11">
        <v>1.10729174793955E-3</v>
      </c>
      <c r="I11">
        <v>0.99982784878006703</v>
      </c>
      <c r="J11" t="s">
        <v>16</v>
      </c>
      <c r="K11" t="s">
        <v>22</v>
      </c>
      <c r="N11" t="str">
        <f t="shared" si="0"/>
        <v>-0.154 (0.023)</v>
      </c>
      <c r="O11" s="1">
        <f t="shared" si="1"/>
        <v>-6.6150000000000002</v>
      </c>
      <c r="P11" s="2" t="str">
        <f t="shared" si="2"/>
        <v>&lt;0.001</v>
      </c>
      <c r="Q11" s="2">
        <f t="shared" si="3"/>
        <v>8.0000000000000002E-3</v>
      </c>
    </row>
    <row r="12" spans="1:17" hidden="1" x14ac:dyDescent="0.25">
      <c r="A12">
        <v>0.539975397328188</v>
      </c>
      <c r="B12">
        <v>3.9084984301946202E-3</v>
      </c>
      <c r="C12">
        <v>138.154180428134</v>
      </c>
      <c r="D12">
        <v>0</v>
      </c>
      <c r="E12" t="s">
        <v>23</v>
      </c>
      <c r="F12">
        <v>0.94406524545160897</v>
      </c>
      <c r="G12">
        <v>0.48561397188719402</v>
      </c>
      <c r="H12">
        <v>0.48298732439686398</v>
      </c>
      <c r="I12">
        <v>1</v>
      </c>
      <c r="J12" t="s">
        <v>16</v>
      </c>
      <c r="K12" t="s">
        <v>22</v>
      </c>
      <c r="N12" t="str">
        <f t="shared" si="0"/>
        <v>0.54 (0.004)</v>
      </c>
      <c r="O12" s="1">
        <f t="shared" si="1"/>
        <v>138.154</v>
      </c>
      <c r="P12" s="2" t="str">
        <f t="shared" si="2"/>
        <v>&lt;0.001</v>
      </c>
      <c r="Q12" s="2">
        <f t="shared" si="3"/>
        <v>0.94399999999999995</v>
      </c>
    </row>
    <row r="13" spans="1:17" hidden="1" x14ac:dyDescent="0.25">
      <c r="A13">
        <v>0.57832048103864897</v>
      </c>
      <c r="B13">
        <v>3.9084984301946298E-3</v>
      </c>
      <c r="C13">
        <v>147.96487484065599</v>
      </c>
      <c r="D13">
        <v>0</v>
      </c>
      <c r="E13" t="s">
        <v>24</v>
      </c>
      <c r="F13">
        <v>3.7643748601463298</v>
      </c>
      <c r="G13">
        <v>0.79010887485681902</v>
      </c>
      <c r="H13">
        <v>0.55401935044884398</v>
      </c>
      <c r="I13">
        <v>1</v>
      </c>
      <c r="J13" t="s">
        <v>16</v>
      </c>
      <c r="K13" t="s">
        <v>22</v>
      </c>
      <c r="N13" t="str">
        <f t="shared" si="0"/>
        <v>0.578 (0.004)</v>
      </c>
      <c r="O13" s="1">
        <f t="shared" si="1"/>
        <v>147.965</v>
      </c>
      <c r="P13" s="2" t="str">
        <f t="shared" si="2"/>
        <v>&lt;0.001</v>
      </c>
      <c r="Q13" s="2">
        <f t="shared" si="3"/>
        <v>3.7639999999999998</v>
      </c>
    </row>
    <row r="14" spans="1:17" hidden="1" x14ac:dyDescent="0.25">
      <c r="A14">
        <v>-0.18410188417440199</v>
      </c>
      <c r="B14">
        <v>1.0175106260108599E-2</v>
      </c>
      <c r="C14">
        <v>-18.0933623166346</v>
      </c>
      <c r="D14" s="5">
        <v>3.14849947812269E-71</v>
      </c>
      <c r="E14" t="s">
        <v>13</v>
      </c>
      <c r="F14" t="s">
        <v>14</v>
      </c>
      <c r="G14" t="s">
        <v>14</v>
      </c>
      <c r="H14" t="s">
        <v>14</v>
      </c>
      <c r="I14" t="s">
        <v>15</v>
      </c>
      <c r="J14" t="s">
        <v>16</v>
      </c>
      <c r="K14" t="s">
        <v>25</v>
      </c>
      <c r="N14" t="str">
        <f t="shared" si="0"/>
        <v>-0.184 (0.01)</v>
      </c>
      <c r="O14" s="1">
        <f t="shared" si="1"/>
        <v>-18.093</v>
      </c>
      <c r="P14" s="2" t="str">
        <f t="shared" si="2"/>
        <v>&lt;0.001</v>
      </c>
      <c r="Q14" s="2" t="e">
        <f t="shared" si="3"/>
        <v>#VALUE!</v>
      </c>
    </row>
    <row r="15" spans="1:17" hidden="1" x14ac:dyDescent="0.25">
      <c r="A15" s="5">
        <v>-4.80230050397607E-5</v>
      </c>
      <c r="B15" s="5">
        <v>8.0442983814660106E-6</v>
      </c>
      <c r="C15">
        <v>-5.9698189652444098</v>
      </c>
      <c r="D15" s="5">
        <v>2.5156251941796698E-9</v>
      </c>
      <c r="E15" t="s">
        <v>18</v>
      </c>
      <c r="F15">
        <v>0.33703983082802802</v>
      </c>
      <c r="G15">
        <v>0.25207912513668301</v>
      </c>
      <c r="H15">
        <v>7.2828205877584196E-4</v>
      </c>
      <c r="I15">
        <v>1</v>
      </c>
      <c r="J15" t="s">
        <v>16</v>
      </c>
      <c r="K15" t="s">
        <v>25</v>
      </c>
      <c r="N15" t="str">
        <f t="shared" si="0"/>
        <v>0 (&lt;0.001)</v>
      </c>
      <c r="O15" s="1">
        <f t="shared" si="1"/>
        <v>-5.97</v>
      </c>
      <c r="P15" s="2" t="str">
        <f t="shared" si="2"/>
        <v>&lt;0.001</v>
      </c>
      <c r="Q15" s="2">
        <f t="shared" si="3"/>
        <v>0.33700000000000002</v>
      </c>
    </row>
    <row r="16" spans="1:17" hidden="1" x14ac:dyDescent="0.25">
      <c r="A16">
        <v>0.41518169110777398</v>
      </c>
      <c r="B16">
        <v>2.4844744172085001E-2</v>
      </c>
      <c r="C16">
        <v>16.711047142689601</v>
      </c>
      <c r="D16" s="5">
        <v>2.8806987864188898E-61</v>
      </c>
      <c r="E16" t="s">
        <v>19</v>
      </c>
      <c r="F16">
        <v>0.98560081424486101</v>
      </c>
      <c r="G16">
        <v>0.49637409854693898</v>
      </c>
      <c r="H16">
        <v>5.7066944144018601E-3</v>
      </c>
      <c r="I16">
        <v>1</v>
      </c>
      <c r="J16" t="s">
        <v>16</v>
      </c>
      <c r="K16" t="s">
        <v>25</v>
      </c>
      <c r="N16" t="str">
        <f t="shared" si="0"/>
        <v>0.415 (0.025)</v>
      </c>
      <c r="O16" s="1">
        <f t="shared" si="1"/>
        <v>16.710999999999999</v>
      </c>
      <c r="P16" s="2" t="str">
        <f t="shared" si="2"/>
        <v>&lt;0.001</v>
      </c>
      <c r="Q16" s="2">
        <f t="shared" si="3"/>
        <v>0.98599999999999999</v>
      </c>
    </row>
    <row r="17" spans="1:17" hidden="1" x14ac:dyDescent="0.25">
      <c r="A17">
        <v>3.07582681647602E-2</v>
      </c>
      <c r="B17">
        <v>4.2948893173884303E-3</v>
      </c>
      <c r="C17">
        <v>7.1615973990834298</v>
      </c>
      <c r="D17" s="5">
        <v>8.9629527638196003E-13</v>
      </c>
      <c r="E17" t="s">
        <v>20</v>
      </c>
      <c r="F17">
        <v>1.45060956684691E-2</v>
      </c>
      <c r="G17">
        <v>1.4298677682080201E-2</v>
      </c>
      <c r="H17">
        <v>1.0480864205553199E-3</v>
      </c>
      <c r="I17">
        <v>0.99999997239690397</v>
      </c>
      <c r="J17" t="s">
        <v>16</v>
      </c>
      <c r="K17" t="s">
        <v>25</v>
      </c>
      <c r="N17" t="str">
        <f t="shared" si="0"/>
        <v>0.031 (0.004)</v>
      </c>
      <c r="O17" s="1">
        <f t="shared" si="1"/>
        <v>7.1619999999999999</v>
      </c>
      <c r="P17" s="2" t="str">
        <f t="shared" si="2"/>
        <v>&lt;0.001</v>
      </c>
      <c r="Q17" s="2">
        <f t="shared" si="3"/>
        <v>1.4999999999999999E-2</v>
      </c>
    </row>
    <row r="18" spans="1:17" hidden="1" x14ac:dyDescent="0.25">
      <c r="A18">
        <v>-0.16761696020540501</v>
      </c>
      <c r="B18">
        <v>2.0896577809692601E-2</v>
      </c>
      <c r="C18">
        <v>-8.0212636601031697</v>
      </c>
      <c r="D18" s="5">
        <v>1.25591808688661E-15</v>
      </c>
      <c r="E18" t="s">
        <v>21</v>
      </c>
      <c r="F18">
        <v>9.32628413217341E-3</v>
      </c>
      <c r="G18">
        <v>9.2401082571551395E-3</v>
      </c>
      <c r="H18">
        <v>1.31480961799968E-3</v>
      </c>
      <c r="I18">
        <v>0.99990104890456</v>
      </c>
      <c r="J18" t="s">
        <v>16</v>
      </c>
      <c r="K18" t="s">
        <v>25</v>
      </c>
      <c r="N18" t="str">
        <f t="shared" si="0"/>
        <v>-0.168 (0.021)</v>
      </c>
      <c r="O18" s="1">
        <f t="shared" si="1"/>
        <v>-8.0210000000000008</v>
      </c>
      <c r="P18" s="2" t="str">
        <f t="shared" si="2"/>
        <v>&lt;0.001</v>
      </c>
      <c r="Q18" s="2">
        <f t="shared" si="3"/>
        <v>8.9999999999999993E-3</v>
      </c>
    </row>
    <row r="19" spans="1:17" hidden="1" x14ac:dyDescent="0.25">
      <c r="A19">
        <v>0.539975397328187</v>
      </c>
      <c r="B19">
        <v>3.5123254483877802E-3</v>
      </c>
      <c r="C19">
        <v>153.737290368706</v>
      </c>
      <c r="D19">
        <v>0</v>
      </c>
      <c r="E19" t="s">
        <v>23</v>
      </c>
      <c r="F19">
        <v>1.17025541234355</v>
      </c>
      <c r="G19">
        <v>0.53922474087040695</v>
      </c>
      <c r="H19">
        <v>0.48298732439686398</v>
      </c>
      <c r="I19">
        <v>1</v>
      </c>
      <c r="J19" t="s">
        <v>16</v>
      </c>
      <c r="K19" t="s">
        <v>25</v>
      </c>
      <c r="N19" t="str">
        <f t="shared" si="0"/>
        <v>0.54 (0.004)</v>
      </c>
      <c r="O19" s="1">
        <f t="shared" si="1"/>
        <v>153.73699999999999</v>
      </c>
      <c r="P19" s="2" t="str">
        <f t="shared" si="2"/>
        <v>&lt;0.001</v>
      </c>
      <c r="Q19" s="2">
        <f t="shared" si="3"/>
        <v>1.17</v>
      </c>
    </row>
    <row r="20" spans="1:17" hidden="1" x14ac:dyDescent="0.25">
      <c r="A20">
        <v>0.57832048103864897</v>
      </c>
      <c r="B20">
        <v>3.5123254483877802E-3</v>
      </c>
      <c r="C20">
        <v>164.654582707906</v>
      </c>
      <c r="D20">
        <v>0</v>
      </c>
      <c r="E20" t="s">
        <v>24</v>
      </c>
      <c r="F20">
        <v>4.6662877119990798</v>
      </c>
      <c r="G20">
        <v>0.82351760961901499</v>
      </c>
      <c r="H20">
        <v>0.55401935044884398</v>
      </c>
      <c r="I20">
        <v>1</v>
      </c>
      <c r="J20" t="s">
        <v>16</v>
      </c>
      <c r="K20" t="s">
        <v>25</v>
      </c>
      <c r="N20" t="str">
        <f t="shared" si="0"/>
        <v>0.578 (0.004)</v>
      </c>
      <c r="O20" s="1">
        <f t="shared" si="1"/>
        <v>164.655</v>
      </c>
      <c r="P20" s="2" t="str">
        <f t="shared" si="2"/>
        <v>&lt;0.001</v>
      </c>
      <c r="Q20" s="2">
        <f t="shared" si="3"/>
        <v>4.6660000000000004</v>
      </c>
    </row>
    <row r="21" spans="1:17" hidden="1" x14ac:dyDescent="0.25">
      <c r="A21">
        <v>2.8673549787086101E-2</v>
      </c>
      <c r="B21">
        <v>7.1305830815721399E-3</v>
      </c>
      <c r="C21">
        <v>4.0212068857578203</v>
      </c>
      <c r="D21" s="5">
        <v>5.8634379139409099E-5</v>
      </c>
      <c r="E21" t="s">
        <v>26</v>
      </c>
      <c r="F21">
        <v>4.8293002029201201E-4</v>
      </c>
      <c r="G21">
        <v>4.8269691146276498E-4</v>
      </c>
      <c r="H21">
        <v>3.3043810557054098E-4</v>
      </c>
      <c r="I21">
        <v>0.145206832657754</v>
      </c>
      <c r="J21" t="s">
        <v>16</v>
      </c>
      <c r="K21" t="s">
        <v>25</v>
      </c>
      <c r="N21" t="str">
        <f t="shared" si="0"/>
        <v>0.029 (0.007)</v>
      </c>
      <c r="O21" s="1">
        <f t="shared" si="1"/>
        <v>4.0209999999999999</v>
      </c>
      <c r="P21" s="2" t="str">
        <f t="shared" si="2"/>
        <v>&lt;0.001</v>
      </c>
      <c r="Q21" s="2" t="str">
        <f t="shared" si="3"/>
        <v>&lt;0.001</v>
      </c>
    </row>
    <row r="22" spans="1:17" hidden="1" x14ac:dyDescent="0.25">
      <c r="A22">
        <v>7.4618983126841107E-2</v>
      </c>
      <c r="B22">
        <v>6.0450147822545099E-3</v>
      </c>
      <c r="C22">
        <v>12.3438876189169</v>
      </c>
      <c r="D22" s="5">
        <v>1.4211816633419701E-34</v>
      </c>
      <c r="E22" t="s">
        <v>27</v>
      </c>
      <c r="F22">
        <v>6.1398092600142597E-3</v>
      </c>
      <c r="G22">
        <v>6.1023420438258104E-3</v>
      </c>
      <c r="H22">
        <v>3.1137318346033901E-3</v>
      </c>
      <c r="I22">
        <v>0.99272284327954596</v>
      </c>
      <c r="J22" t="s">
        <v>16</v>
      </c>
      <c r="K22" t="s">
        <v>25</v>
      </c>
      <c r="N22" t="str">
        <f t="shared" si="0"/>
        <v>0.075 (0.006)</v>
      </c>
      <c r="O22" s="1">
        <f t="shared" si="1"/>
        <v>12.343999999999999</v>
      </c>
      <c r="P22" s="2" t="str">
        <f t="shared" si="2"/>
        <v>&lt;0.001</v>
      </c>
      <c r="Q22" s="2">
        <f t="shared" si="3"/>
        <v>6.0000000000000001E-3</v>
      </c>
    </row>
    <row r="23" spans="1:17" hidden="1" x14ac:dyDescent="0.25">
      <c r="A23">
        <v>0.10247008521173399</v>
      </c>
      <c r="B23">
        <v>6.0369151772818302E-3</v>
      </c>
      <c r="C23">
        <v>16.973915021590901</v>
      </c>
      <c r="D23" s="5">
        <v>4.1669877595327098E-63</v>
      </c>
      <c r="E23" t="s">
        <v>28</v>
      </c>
      <c r="F23">
        <v>2.3078941801968799E-2</v>
      </c>
      <c r="G23">
        <v>2.25583196554896E-2</v>
      </c>
      <c r="H23">
        <v>5.8876412002807398E-3</v>
      </c>
      <c r="I23">
        <v>0.999999999999995</v>
      </c>
      <c r="J23" t="s">
        <v>16</v>
      </c>
      <c r="K23" t="s">
        <v>25</v>
      </c>
      <c r="N23" t="str">
        <f t="shared" si="0"/>
        <v>0.102 (0.006)</v>
      </c>
      <c r="O23" s="1">
        <f t="shared" si="1"/>
        <v>16.974</v>
      </c>
      <c r="P23" s="2" t="str">
        <f t="shared" si="2"/>
        <v>&lt;0.001</v>
      </c>
      <c r="Q23" s="2">
        <f t="shared" si="3"/>
        <v>2.3E-2</v>
      </c>
    </row>
    <row r="24" spans="1:17" hidden="1" x14ac:dyDescent="0.25">
      <c r="A24">
        <v>0.132070167419961</v>
      </c>
      <c r="B24">
        <v>4.70566617740066E-3</v>
      </c>
      <c r="C24">
        <v>28.066199862250802</v>
      </c>
      <c r="D24" s="5">
        <v>1.1880902736696301E-162</v>
      </c>
      <c r="E24" t="s">
        <v>29</v>
      </c>
      <c r="F24">
        <v>0.101178551938578</v>
      </c>
      <c r="G24">
        <v>9.1882058327831903E-2</v>
      </c>
      <c r="H24">
        <v>1.6096984120448101E-2</v>
      </c>
      <c r="I24">
        <v>1</v>
      </c>
      <c r="J24" t="s">
        <v>16</v>
      </c>
      <c r="K24" t="s">
        <v>25</v>
      </c>
      <c r="N24" t="str">
        <f t="shared" si="0"/>
        <v>0.132 (0.005)</v>
      </c>
      <c r="O24" s="1">
        <f t="shared" si="1"/>
        <v>28.065999999999999</v>
      </c>
      <c r="P24" s="2" t="str">
        <f t="shared" si="2"/>
        <v>&lt;0.001</v>
      </c>
      <c r="Q24" s="2">
        <f t="shared" si="3"/>
        <v>0.10100000000000001</v>
      </c>
    </row>
    <row r="25" spans="1:17" hidden="1" x14ac:dyDescent="0.25">
      <c r="A25">
        <v>0.12900726297387299</v>
      </c>
      <c r="B25">
        <v>6.3693043131117597E-3</v>
      </c>
      <c r="C25">
        <v>20.254529636509901</v>
      </c>
      <c r="D25" s="5">
        <v>3.3874268849259799E-88</v>
      </c>
      <c r="E25" t="s">
        <v>30</v>
      </c>
      <c r="F25">
        <v>6.0764323523355798E-2</v>
      </c>
      <c r="G25">
        <v>5.7283528655569398E-2</v>
      </c>
      <c r="H25">
        <v>8.3834274998876301E-3</v>
      </c>
      <c r="I25">
        <v>1</v>
      </c>
      <c r="J25" t="s">
        <v>16</v>
      </c>
      <c r="K25" t="s">
        <v>25</v>
      </c>
      <c r="N25" t="str">
        <f t="shared" si="0"/>
        <v>0.129 (0.006)</v>
      </c>
      <c r="O25" s="1">
        <f t="shared" si="1"/>
        <v>20.254999999999999</v>
      </c>
      <c r="P25" s="2" t="str">
        <f t="shared" si="2"/>
        <v>&lt;0.001</v>
      </c>
      <c r="Q25" s="2">
        <f t="shared" si="3"/>
        <v>6.0999999999999999E-2</v>
      </c>
    </row>
    <row r="26" spans="1:17" hidden="1" x14ac:dyDescent="0.25">
      <c r="A26">
        <v>9.7328324461471896E-2</v>
      </c>
      <c r="B26">
        <v>5.8313613806788298E-3</v>
      </c>
      <c r="C26">
        <v>16.690497828509098</v>
      </c>
      <c r="D26" s="5">
        <v>4.0014916399462097E-61</v>
      </c>
      <c r="E26" t="s">
        <v>31</v>
      </c>
      <c r="F26">
        <v>4.7947111491130297E-2</v>
      </c>
      <c r="G26">
        <v>4.5753369578838902E-2</v>
      </c>
      <c r="H26">
        <v>5.69266817729841E-3</v>
      </c>
      <c r="I26">
        <v>1</v>
      </c>
      <c r="J26" t="s">
        <v>16</v>
      </c>
      <c r="K26" t="s">
        <v>25</v>
      </c>
      <c r="N26" t="str">
        <f t="shared" si="0"/>
        <v>0.097 (0.006)</v>
      </c>
      <c r="O26" s="1">
        <f t="shared" si="1"/>
        <v>16.690000000000001</v>
      </c>
      <c r="P26" s="2" t="str">
        <f t="shared" si="2"/>
        <v>&lt;0.001</v>
      </c>
      <c r="Q26" s="2">
        <f t="shared" si="3"/>
        <v>4.8000000000000001E-2</v>
      </c>
    </row>
    <row r="27" spans="1:17" x14ac:dyDescent="0.25">
      <c r="A27">
        <v>-0.13968106753990001</v>
      </c>
      <c r="B27">
        <v>9.1754960723971508E-3</v>
      </c>
      <c r="C27">
        <v>-15.2232714654094</v>
      </c>
      <c r="D27" s="5">
        <v>2.41176048534599E-51</v>
      </c>
      <c r="E27" t="s">
        <v>13</v>
      </c>
      <c r="F27" t="s">
        <v>14</v>
      </c>
      <c r="G27" t="s">
        <v>14</v>
      </c>
      <c r="H27" t="s">
        <v>14</v>
      </c>
      <c r="I27" t="s">
        <v>15</v>
      </c>
      <c r="J27" t="s">
        <v>16</v>
      </c>
      <c r="K27" t="s">
        <v>32</v>
      </c>
      <c r="N27" t="str">
        <f t="shared" si="0"/>
        <v>-0.14 (0.009)</v>
      </c>
      <c r="O27" s="1">
        <f t="shared" si="1"/>
        <v>-15.223000000000001</v>
      </c>
      <c r="P27" s="2" t="str">
        <f t="shared" si="2"/>
        <v>&lt;0.001</v>
      </c>
      <c r="Q27" s="2" t="e">
        <f>IF(G27&lt;0.001,"&lt;0.001",ROUND(G27,3))</f>
        <v>#VALUE!</v>
      </c>
    </row>
    <row r="28" spans="1:17" x14ac:dyDescent="0.25">
      <c r="A28" s="5">
        <v>-4.80230050397636E-5</v>
      </c>
      <c r="B28" s="5">
        <v>7.1587322183918598E-6</v>
      </c>
      <c r="C28">
        <v>-6.7083114125131402</v>
      </c>
      <c r="D28" s="5">
        <v>2.1558222162394401E-11</v>
      </c>
      <c r="E28" t="s">
        <v>18</v>
      </c>
      <c r="F28">
        <v>0.42646486522620902</v>
      </c>
      <c r="G28">
        <v>0.29896625961311701</v>
      </c>
      <c r="H28">
        <v>7.28282058776064E-4</v>
      </c>
      <c r="I28">
        <v>1</v>
      </c>
      <c r="J28" t="s">
        <v>16</v>
      </c>
      <c r="K28" t="s">
        <v>32</v>
      </c>
      <c r="N28" t="str">
        <f t="shared" si="0"/>
        <v>0 (&lt;0.001)</v>
      </c>
      <c r="O28" s="1">
        <f t="shared" si="1"/>
        <v>-6.7080000000000002</v>
      </c>
      <c r="P28" s="2" t="str">
        <f t="shared" si="2"/>
        <v>&lt;0.001</v>
      </c>
      <c r="Q28" s="2">
        <f t="shared" ref="Q28:Q51" si="4">IF(G28&lt;0.001,"&lt;0.001",ROUND(G28,3))</f>
        <v>0.29899999999999999</v>
      </c>
    </row>
    <row r="29" spans="1:17" x14ac:dyDescent="0.25">
      <c r="A29">
        <v>0.41518169110778402</v>
      </c>
      <c r="B29">
        <v>2.21096809352807E-2</v>
      </c>
      <c r="C29">
        <v>18.7782760105449</v>
      </c>
      <c r="D29" s="5">
        <v>2.02661064286653E-76</v>
      </c>
      <c r="E29" t="s">
        <v>19</v>
      </c>
      <c r="F29">
        <v>1.2471051785812399</v>
      </c>
      <c r="G29">
        <v>0.55498300233931497</v>
      </c>
      <c r="H29">
        <v>5.7066944144021896E-3</v>
      </c>
      <c r="I29">
        <v>1</v>
      </c>
      <c r="J29" t="s">
        <v>16</v>
      </c>
      <c r="K29" t="s">
        <v>32</v>
      </c>
      <c r="N29" t="str">
        <f t="shared" si="0"/>
        <v>0.415 (0.022)</v>
      </c>
      <c r="O29" s="1">
        <f t="shared" si="1"/>
        <v>18.777999999999999</v>
      </c>
      <c r="P29" s="2" t="str">
        <f t="shared" si="2"/>
        <v>&lt;0.001</v>
      </c>
      <c r="Q29" s="2">
        <f t="shared" si="4"/>
        <v>0.55500000000000005</v>
      </c>
    </row>
    <row r="30" spans="1:17" x14ac:dyDescent="0.25">
      <c r="A30">
        <v>3.07582681647618E-2</v>
      </c>
      <c r="B30">
        <v>3.8220813143448299E-3</v>
      </c>
      <c r="C30">
        <v>8.0475179974119104</v>
      </c>
      <c r="D30" s="5">
        <v>1.01662546881553E-15</v>
      </c>
      <c r="E30" t="s">
        <v>20</v>
      </c>
      <c r="F30">
        <v>1.8354922974574799E-2</v>
      </c>
      <c r="G30">
        <v>1.80240921514483E-2</v>
      </c>
      <c r="H30">
        <v>1.0480864205556499E-3</v>
      </c>
      <c r="I30">
        <v>0.99999999513557203</v>
      </c>
      <c r="J30" t="s">
        <v>16</v>
      </c>
      <c r="K30" t="s">
        <v>32</v>
      </c>
      <c r="N30" t="str">
        <f t="shared" si="0"/>
        <v>0.031 (0.004)</v>
      </c>
      <c r="O30" s="1">
        <f t="shared" si="1"/>
        <v>8.048</v>
      </c>
      <c r="P30" s="2" t="str">
        <f t="shared" si="2"/>
        <v>&lt;0.001</v>
      </c>
      <c r="Q30" s="2">
        <f t="shared" si="4"/>
        <v>1.7999999999999999E-2</v>
      </c>
    </row>
    <row r="31" spans="1:17" x14ac:dyDescent="0.25">
      <c r="A31">
        <v>-0.167616960205413</v>
      </c>
      <c r="B31">
        <v>1.8596153166700002E-2</v>
      </c>
      <c r="C31">
        <v>-9.0135286961157099</v>
      </c>
      <c r="D31" s="5">
        <v>2.6636286144981602E-19</v>
      </c>
      <c r="E31" t="s">
        <v>21</v>
      </c>
      <c r="F31">
        <v>1.1800778844794999E-2</v>
      </c>
      <c r="G31">
        <v>1.16631446540971E-2</v>
      </c>
      <c r="H31">
        <v>1.31480961800001E-3</v>
      </c>
      <c r="I31">
        <v>0.99994541717816199</v>
      </c>
      <c r="J31" t="s">
        <v>16</v>
      </c>
      <c r="K31" t="s">
        <v>32</v>
      </c>
      <c r="N31" t="str">
        <f t="shared" si="0"/>
        <v>-0.168 (0.019)</v>
      </c>
      <c r="O31" s="1">
        <f t="shared" si="1"/>
        <v>-9.0139999999999993</v>
      </c>
      <c r="P31" s="2" t="str">
        <f t="shared" si="2"/>
        <v>&lt;0.001</v>
      </c>
      <c r="Q31" s="2">
        <f t="shared" si="4"/>
        <v>1.2E-2</v>
      </c>
    </row>
    <row r="32" spans="1:17" x14ac:dyDescent="0.25">
      <c r="A32">
        <v>0.47613076930716702</v>
      </c>
      <c r="B32">
        <v>4.04495548240651E-3</v>
      </c>
      <c r="C32">
        <v>117.70976748151899</v>
      </c>
      <c r="D32">
        <v>0</v>
      </c>
      <c r="E32" t="s">
        <v>23</v>
      </c>
      <c r="F32">
        <v>1.4807532257514799</v>
      </c>
      <c r="G32">
        <v>0.59689662413032796</v>
      </c>
      <c r="H32">
        <v>0.22423230667656899</v>
      </c>
      <c r="I32">
        <v>1</v>
      </c>
      <c r="J32" t="s">
        <v>16</v>
      </c>
      <c r="K32" t="s">
        <v>32</v>
      </c>
      <c r="N32" t="str">
        <f t="shared" si="0"/>
        <v>0.476 (0.004)</v>
      </c>
      <c r="O32" s="1">
        <f t="shared" si="1"/>
        <v>117.71</v>
      </c>
      <c r="P32" s="2" t="str">
        <f t="shared" si="2"/>
        <v>&lt;0.001</v>
      </c>
      <c r="Q32" s="2">
        <f t="shared" si="4"/>
        <v>0.59699999999999998</v>
      </c>
    </row>
    <row r="33" spans="1:17" x14ac:dyDescent="0.25">
      <c r="A33">
        <v>0.50890265915617805</v>
      </c>
      <c r="B33">
        <v>4.0449554824065204E-3</v>
      </c>
      <c r="C33">
        <v>125.81168355737</v>
      </c>
      <c r="D33">
        <v>0</v>
      </c>
      <c r="E33" t="s">
        <v>24</v>
      </c>
      <c r="F33">
        <v>5.9043696862635597</v>
      </c>
      <c r="G33">
        <v>0.85516418653109905</v>
      </c>
      <c r="H33">
        <v>0.25616224972941898</v>
      </c>
      <c r="I33">
        <v>1</v>
      </c>
      <c r="J33" t="s">
        <v>16</v>
      </c>
      <c r="K33" t="s">
        <v>32</v>
      </c>
      <c r="N33" t="str">
        <f t="shared" si="0"/>
        <v>0.509 (0.004)</v>
      </c>
      <c r="O33" s="1">
        <f t="shared" si="1"/>
        <v>125.812</v>
      </c>
      <c r="P33" s="2" t="str">
        <f t="shared" si="2"/>
        <v>&lt;0.001</v>
      </c>
      <c r="Q33" s="2">
        <f t="shared" si="4"/>
        <v>0.85499999999999998</v>
      </c>
    </row>
    <row r="34" spans="1:17" x14ac:dyDescent="0.25">
      <c r="A34">
        <v>-2.29547118702354E-2</v>
      </c>
      <c r="B34">
        <v>1.0958373682424499E-2</v>
      </c>
      <c r="C34">
        <v>-2.0947188456486998</v>
      </c>
      <c r="D34">
        <v>3.6239283011574502E-2</v>
      </c>
      <c r="E34" t="s">
        <v>26</v>
      </c>
      <c r="F34">
        <v>6.1106334379395599E-4</v>
      </c>
      <c r="G34">
        <v>6.1069017341456699E-4</v>
      </c>
      <c r="H34" s="5">
        <v>7.1010841765195605E-5</v>
      </c>
      <c r="I34">
        <v>0.13236042513020699</v>
      </c>
      <c r="J34" t="s">
        <v>16</v>
      </c>
      <c r="K34" t="s">
        <v>32</v>
      </c>
      <c r="N34" t="str">
        <f t="shared" si="0"/>
        <v>-0.023 (0.011)</v>
      </c>
      <c r="O34" s="1">
        <f t="shared" si="1"/>
        <v>-2.0950000000000002</v>
      </c>
      <c r="P34" s="2">
        <f t="shared" si="2"/>
        <v>3.5999999999999997E-2</v>
      </c>
      <c r="Q34" s="2" t="str">
        <f t="shared" si="4"/>
        <v>&lt;0.001</v>
      </c>
    </row>
    <row r="35" spans="1:17" x14ac:dyDescent="0.25">
      <c r="A35">
        <v>4.8829018085691997E-2</v>
      </c>
      <c r="B35">
        <v>9.3077117705910196E-3</v>
      </c>
      <c r="C35">
        <v>5.2460818823348001</v>
      </c>
      <c r="D35" s="5">
        <v>1.60884394916604E-7</v>
      </c>
      <c r="E35" t="s">
        <v>27</v>
      </c>
      <c r="F35">
        <v>7.7688530823012501E-3</v>
      </c>
      <c r="G35">
        <v>7.7089632791685399E-3</v>
      </c>
      <c r="H35">
        <v>4.4539292155831899E-4</v>
      </c>
      <c r="I35">
        <v>0.99361569412391104</v>
      </c>
      <c r="J35" t="s">
        <v>16</v>
      </c>
      <c r="K35" t="s">
        <v>32</v>
      </c>
      <c r="N35" t="str">
        <f t="shared" si="0"/>
        <v>0.049 (0.009)</v>
      </c>
      <c r="O35" s="1">
        <f t="shared" si="1"/>
        <v>5.2460000000000004</v>
      </c>
      <c r="P35" s="2" t="str">
        <f t="shared" si="2"/>
        <v>&lt;0.001</v>
      </c>
      <c r="Q35" s="2">
        <f t="shared" si="4"/>
        <v>8.0000000000000002E-3</v>
      </c>
    </row>
    <row r="36" spans="1:17" x14ac:dyDescent="0.25">
      <c r="A36">
        <v>9.0958784316590394E-2</v>
      </c>
      <c r="B36">
        <v>9.3035476789274704E-3</v>
      </c>
      <c r="C36">
        <v>9.7767848841804703</v>
      </c>
      <c r="D36" s="5">
        <v>2.1083819148350901E-22</v>
      </c>
      <c r="E36" t="s">
        <v>28</v>
      </c>
      <c r="F36">
        <v>2.9202358014955701E-2</v>
      </c>
      <c r="G36">
        <v>2.83737768258507E-2</v>
      </c>
      <c r="H36">
        <v>1.5469109018593199E-3</v>
      </c>
      <c r="I36">
        <v>1</v>
      </c>
      <c r="J36" t="s">
        <v>16</v>
      </c>
      <c r="K36" t="s">
        <v>32</v>
      </c>
      <c r="N36" t="str">
        <f t="shared" si="0"/>
        <v>0.091 (0.009)</v>
      </c>
      <c r="O36" s="1">
        <f t="shared" si="1"/>
        <v>9.7769999999999992</v>
      </c>
      <c r="P36" s="2" t="str">
        <f t="shared" si="2"/>
        <v>&lt;0.001</v>
      </c>
      <c r="Q36" s="2">
        <f t="shared" si="4"/>
        <v>2.8000000000000001E-2</v>
      </c>
    </row>
    <row r="37" spans="1:17" x14ac:dyDescent="0.25">
      <c r="A37">
        <v>-3.7049788427150197E-2</v>
      </c>
      <c r="B37">
        <v>7.2287167001039198E-3</v>
      </c>
      <c r="C37">
        <v>-5.1253617985357698</v>
      </c>
      <c r="D37" s="5">
        <v>3.0659067107334802E-7</v>
      </c>
      <c r="E37" t="s">
        <v>29</v>
      </c>
      <c r="F37">
        <v>0.128023733605199</v>
      </c>
      <c r="G37">
        <v>0.113493829776108</v>
      </c>
      <c r="H37">
        <v>4.2513047312930902E-4</v>
      </c>
      <c r="I37">
        <v>1</v>
      </c>
      <c r="J37" t="s">
        <v>16</v>
      </c>
      <c r="K37" t="s">
        <v>32</v>
      </c>
      <c r="N37" t="str">
        <f t="shared" si="0"/>
        <v>-0.037 (0.007)</v>
      </c>
      <c r="O37" s="1">
        <f t="shared" si="1"/>
        <v>-5.125</v>
      </c>
      <c r="P37" s="2" t="str">
        <f t="shared" si="2"/>
        <v>&lt;0.001</v>
      </c>
      <c r="Q37" s="2">
        <f t="shared" si="4"/>
        <v>0.113</v>
      </c>
    </row>
    <row r="38" spans="1:17" x14ac:dyDescent="0.25">
      <c r="A38">
        <v>-4.0535631421073998E-2</v>
      </c>
      <c r="B38">
        <v>9.8035660994214603E-3</v>
      </c>
      <c r="C38">
        <v>-4.1347843233765902</v>
      </c>
      <c r="D38" s="5">
        <v>3.6030485101583603E-5</v>
      </c>
      <c r="E38" t="s">
        <v>30</v>
      </c>
      <c r="F38">
        <v>7.6886607076337293E-2</v>
      </c>
      <c r="G38">
        <v>7.1397124424342498E-2</v>
      </c>
      <c r="H38">
        <v>2.7668072367859102E-4</v>
      </c>
      <c r="I38">
        <v>1</v>
      </c>
      <c r="J38" t="s">
        <v>16</v>
      </c>
      <c r="K38" t="s">
        <v>32</v>
      </c>
      <c r="N38" t="str">
        <f t="shared" si="0"/>
        <v>-0.041 (0.01)</v>
      </c>
      <c r="O38" s="1">
        <f t="shared" si="1"/>
        <v>-4.1349999999999998</v>
      </c>
      <c r="P38" s="2" t="str">
        <f t="shared" si="2"/>
        <v>&lt;0.001</v>
      </c>
      <c r="Q38" s="2">
        <f t="shared" si="4"/>
        <v>7.0999999999999994E-2</v>
      </c>
    </row>
    <row r="39" spans="1:17" x14ac:dyDescent="0.25">
      <c r="A39">
        <v>-7.4262565697063201E-2</v>
      </c>
      <c r="B39">
        <v>8.9797658177687995E-3</v>
      </c>
      <c r="C39">
        <v>-8.2699891293507193</v>
      </c>
      <c r="D39" s="5">
        <v>1.6460792608799901E-16</v>
      </c>
      <c r="E39" t="s">
        <v>31</v>
      </c>
      <c r="F39">
        <v>6.0668670494569199E-2</v>
      </c>
      <c r="G39">
        <v>5.7198512770515297E-2</v>
      </c>
      <c r="H39">
        <v>1.10683544461132E-3</v>
      </c>
      <c r="I39">
        <v>1</v>
      </c>
      <c r="J39" t="s">
        <v>16</v>
      </c>
      <c r="K39" t="s">
        <v>32</v>
      </c>
      <c r="N39" t="str">
        <f t="shared" si="0"/>
        <v>-0.074 (0.009)</v>
      </c>
      <c r="O39" s="1">
        <f t="shared" si="1"/>
        <v>-8.27</v>
      </c>
      <c r="P39" s="2" t="str">
        <f t="shared" si="2"/>
        <v>&lt;0.001</v>
      </c>
      <c r="Q39" s="2">
        <f t="shared" si="4"/>
        <v>5.7000000000000002E-2</v>
      </c>
    </row>
    <row r="40" spans="1:17" x14ac:dyDescent="0.25">
      <c r="A40">
        <v>6.6791533398722305E-2</v>
      </c>
      <c r="B40">
        <v>1.54744233301982E-2</v>
      </c>
      <c r="C40">
        <v>4.3162534702265303</v>
      </c>
      <c r="D40" s="5">
        <v>1.6134122725054899E-5</v>
      </c>
      <c r="E40" t="s">
        <v>33</v>
      </c>
      <c r="F40" s="5">
        <v>4.40278852750438E-5</v>
      </c>
      <c r="G40" s="5">
        <v>4.4025946905704298E-5</v>
      </c>
      <c r="H40">
        <v>3.0149982329985602E-4</v>
      </c>
      <c r="I40">
        <v>5.4494989711862098E-2</v>
      </c>
      <c r="J40" t="s">
        <v>16</v>
      </c>
      <c r="K40" t="s">
        <v>32</v>
      </c>
      <c r="N40" t="str">
        <f t="shared" si="0"/>
        <v>0.067 (0.015)</v>
      </c>
      <c r="O40" s="1">
        <f t="shared" si="1"/>
        <v>4.3159999999999998</v>
      </c>
      <c r="P40" s="2" t="str">
        <f t="shared" si="2"/>
        <v>&lt;0.001</v>
      </c>
      <c r="Q40" s="2" t="str">
        <f t="shared" si="4"/>
        <v>&lt;0.001</v>
      </c>
    </row>
    <row r="41" spans="1:17" x14ac:dyDescent="0.25">
      <c r="A41">
        <v>3.9790475263085399E-2</v>
      </c>
      <c r="B41">
        <v>1.3156066072176601E-2</v>
      </c>
      <c r="C41">
        <v>3.0244964600198498</v>
      </c>
      <c r="D41">
        <v>2.5013821520669401E-3</v>
      </c>
      <c r="E41" t="s">
        <v>34</v>
      </c>
      <c r="F41">
        <v>1.1148715255112399E-4</v>
      </c>
      <c r="G41">
        <v>1.11474724551502E-4</v>
      </c>
      <c r="H41">
        <v>1.4804009051361299E-4</v>
      </c>
      <c r="I41">
        <v>6.18199451501244E-2</v>
      </c>
      <c r="J41" t="s">
        <v>16</v>
      </c>
      <c r="K41" t="s">
        <v>32</v>
      </c>
      <c r="N41" t="str">
        <f t="shared" si="0"/>
        <v>0.04 (0.013)</v>
      </c>
      <c r="O41" s="1">
        <f t="shared" si="1"/>
        <v>3.024</v>
      </c>
      <c r="P41" s="2">
        <f t="shared" si="2"/>
        <v>3.0000000000000001E-3</v>
      </c>
      <c r="Q41" s="2" t="str">
        <f t="shared" si="4"/>
        <v>&lt;0.001</v>
      </c>
    </row>
    <row r="42" spans="1:17" x14ac:dyDescent="0.25">
      <c r="A42">
        <v>2.3449378304409001E-2</v>
      </c>
      <c r="B42">
        <v>1.31560660721765E-2</v>
      </c>
      <c r="C42">
        <v>1.78240046650432</v>
      </c>
      <c r="D42">
        <v>7.4736261977146806E-2</v>
      </c>
      <c r="E42" t="s">
        <v>35</v>
      </c>
      <c r="F42">
        <v>2.3128622886511201E-4</v>
      </c>
      <c r="G42">
        <v>2.31232747914857E-4</v>
      </c>
      <c r="H42" s="5">
        <v>5.14142796268491E-5</v>
      </c>
      <c r="I42">
        <v>7.6138113565542606E-2</v>
      </c>
      <c r="J42" t="s">
        <v>16</v>
      </c>
      <c r="K42" t="s">
        <v>32</v>
      </c>
      <c r="N42" t="str">
        <f t="shared" si="0"/>
        <v>0.023 (0.013)</v>
      </c>
      <c r="O42" s="1">
        <f t="shared" si="1"/>
        <v>1.782</v>
      </c>
      <c r="P42" s="2">
        <f t="shared" si="2"/>
        <v>7.4999999999999997E-2</v>
      </c>
      <c r="Q42" s="2" t="str">
        <f t="shared" si="4"/>
        <v>&lt;0.001</v>
      </c>
    </row>
    <row r="43" spans="1:17" x14ac:dyDescent="0.25">
      <c r="A43">
        <v>0.24375188091970601</v>
      </c>
      <c r="B43">
        <v>1.0205592415513901E-2</v>
      </c>
      <c r="C43">
        <v>23.884148121491702</v>
      </c>
      <c r="D43" s="5">
        <v>2.4696918696809701E-120</v>
      </c>
      <c r="E43" t="s">
        <v>36</v>
      </c>
      <c r="F43">
        <v>1.9853011435735202E-2</v>
      </c>
      <c r="G43">
        <v>1.9466541955675001E-2</v>
      </c>
      <c r="H43">
        <v>9.2319340344713102E-3</v>
      </c>
      <c r="I43">
        <v>0.99999999952715601</v>
      </c>
      <c r="J43" t="s">
        <v>16</v>
      </c>
      <c r="K43" t="s">
        <v>32</v>
      </c>
      <c r="N43" t="str">
        <f t="shared" si="0"/>
        <v>0.244 (0.01)</v>
      </c>
      <c r="O43" s="1">
        <f t="shared" si="1"/>
        <v>23.884</v>
      </c>
      <c r="P43" s="2" t="str">
        <f t="shared" si="2"/>
        <v>&lt;0.001</v>
      </c>
      <c r="Q43" s="2">
        <f t="shared" si="4"/>
        <v>1.9E-2</v>
      </c>
    </row>
    <row r="44" spans="1:17" x14ac:dyDescent="0.25">
      <c r="A44">
        <v>0.24527445967432299</v>
      </c>
      <c r="B44">
        <v>1.38544782741373E-2</v>
      </c>
      <c r="C44">
        <v>17.7036229601072</v>
      </c>
      <c r="D44" s="5">
        <v>2.4086275587247898E-68</v>
      </c>
      <c r="E44" t="s">
        <v>37</v>
      </c>
      <c r="F44">
        <v>1.28615345161912E-2</v>
      </c>
      <c r="G44">
        <v>1.26982159731584E-2</v>
      </c>
      <c r="H44">
        <v>5.0722130175471199E-3</v>
      </c>
      <c r="I44">
        <v>0.99998648622511799</v>
      </c>
      <c r="J44" t="s">
        <v>16</v>
      </c>
      <c r="K44" t="s">
        <v>32</v>
      </c>
      <c r="N44" t="str">
        <f t="shared" si="0"/>
        <v>0.245 (0.014)</v>
      </c>
      <c r="O44" s="1">
        <f t="shared" si="1"/>
        <v>17.704000000000001</v>
      </c>
      <c r="P44" s="2" t="str">
        <f t="shared" si="2"/>
        <v>&lt;0.001</v>
      </c>
      <c r="Q44" s="2">
        <f t="shared" si="4"/>
        <v>1.2999999999999999E-2</v>
      </c>
    </row>
    <row r="45" spans="1:17" x14ac:dyDescent="0.25">
      <c r="A45">
        <v>0.24009978965466999</v>
      </c>
      <c r="B45">
        <v>1.26932535012328E-2</v>
      </c>
      <c r="C45">
        <v>18.915543570555101</v>
      </c>
      <c r="D45" s="5">
        <v>1.75839860111132E-77</v>
      </c>
      <c r="E45" t="s">
        <v>38</v>
      </c>
      <c r="F45">
        <v>1.5072702211995401E-2</v>
      </c>
      <c r="G45">
        <v>1.4848889325020501E-2</v>
      </c>
      <c r="H45">
        <v>5.7904302276125001E-3</v>
      </c>
      <c r="I45">
        <v>0.99999936793114597</v>
      </c>
      <c r="J45" t="s">
        <v>16</v>
      </c>
      <c r="K45" t="s">
        <v>32</v>
      </c>
      <c r="N45" t="str">
        <f t="shared" si="0"/>
        <v>0.24 (0.013)</v>
      </c>
      <c r="O45" s="1">
        <f t="shared" si="1"/>
        <v>18.916</v>
      </c>
      <c r="P45" s="2" t="str">
        <f t="shared" si="2"/>
        <v>&lt;0.001</v>
      </c>
      <c r="Q45" s="2">
        <f t="shared" si="4"/>
        <v>1.4999999999999999E-2</v>
      </c>
    </row>
    <row r="46" spans="1:17" x14ac:dyDescent="0.25">
      <c r="A46">
        <v>8.8093251573241493E-2</v>
      </c>
      <c r="B46">
        <v>1.5474423330198101E-2</v>
      </c>
      <c r="C46">
        <v>5.6928293671098498</v>
      </c>
      <c r="D46" s="5">
        <v>1.31078339653243E-8</v>
      </c>
      <c r="E46" t="s">
        <v>39</v>
      </c>
      <c r="F46">
        <v>2.8198016201214001E-4</v>
      </c>
      <c r="G46">
        <v>2.8190067161508703E-4</v>
      </c>
      <c r="H46">
        <v>5.2448070351140995E-4</v>
      </c>
      <c r="I46">
        <v>8.2700319570405106E-2</v>
      </c>
      <c r="J46" t="s">
        <v>16</v>
      </c>
      <c r="K46" t="s">
        <v>32</v>
      </c>
      <c r="N46" t="str">
        <f t="shared" si="0"/>
        <v>0.088 (0.015)</v>
      </c>
      <c r="O46" s="1">
        <f t="shared" si="1"/>
        <v>5.6929999999999996</v>
      </c>
      <c r="P46" s="2" t="str">
        <f t="shared" si="2"/>
        <v>&lt;0.001</v>
      </c>
      <c r="Q46" s="2" t="str">
        <f t="shared" si="4"/>
        <v>&lt;0.001</v>
      </c>
    </row>
    <row r="47" spans="1:17" x14ac:dyDescent="0.25">
      <c r="A47">
        <v>3.7579419860359002E-2</v>
      </c>
      <c r="B47">
        <v>1.31560660721767E-2</v>
      </c>
      <c r="C47">
        <v>2.8564328921876099</v>
      </c>
      <c r="D47">
        <v>4.2995431746802202E-3</v>
      </c>
      <c r="E47" t="s">
        <v>40</v>
      </c>
      <c r="F47">
        <v>1.13012088141776E-3</v>
      </c>
      <c r="G47">
        <v>1.1288451499419201E-3</v>
      </c>
      <c r="H47">
        <v>1.3204477827844001E-4</v>
      </c>
      <c r="I47">
        <v>0.23243172962391501</v>
      </c>
      <c r="J47" t="s">
        <v>16</v>
      </c>
      <c r="K47" t="s">
        <v>32</v>
      </c>
      <c r="N47" t="str">
        <f t="shared" si="0"/>
        <v>0.038 (0.013)</v>
      </c>
      <c r="O47" s="1">
        <f t="shared" si="1"/>
        <v>2.8559999999999999</v>
      </c>
      <c r="P47" s="2">
        <f t="shared" si="2"/>
        <v>4.0000000000000001E-3</v>
      </c>
      <c r="Q47" s="2">
        <f t="shared" si="4"/>
        <v>1E-3</v>
      </c>
    </row>
    <row r="48" spans="1:17" x14ac:dyDescent="0.25">
      <c r="A48">
        <v>1.1084524381021201E-2</v>
      </c>
      <c r="B48">
        <v>1.3156066072176601E-2</v>
      </c>
      <c r="C48">
        <v>0.84254094804704605</v>
      </c>
      <c r="D48">
        <v>0.39951998235611602</v>
      </c>
      <c r="E48" t="s">
        <v>41</v>
      </c>
      <c r="F48">
        <v>4.2077494701557704E-3</v>
      </c>
      <c r="G48">
        <v>4.1901185012522303E-3</v>
      </c>
      <c r="H48" s="5">
        <v>1.14882853716747E-5</v>
      </c>
      <c r="I48">
        <v>0.84183635946816304</v>
      </c>
      <c r="J48" t="s">
        <v>16</v>
      </c>
      <c r="K48" t="s">
        <v>32</v>
      </c>
      <c r="N48" t="str">
        <f t="shared" si="0"/>
        <v>0.011 (0.013)</v>
      </c>
      <c r="O48" s="1">
        <f t="shared" si="1"/>
        <v>0.84299999999999997</v>
      </c>
      <c r="P48" s="2">
        <f t="shared" si="2"/>
        <v>0.4</v>
      </c>
      <c r="Q48" s="2">
        <f t="shared" si="4"/>
        <v>4.0000000000000001E-3</v>
      </c>
    </row>
    <row r="49" spans="1:17" x14ac:dyDescent="0.25">
      <c r="A49">
        <v>0.26360798662161899</v>
      </c>
      <c r="B49">
        <v>1.0205592415513901E-2</v>
      </c>
      <c r="C49">
        <v>25.829758419599401</v>
      </c>
      <c r="D49" s="5">
        <v>2.4199982779291999E-139</v>
      </c>
      <c r="E49" t="s">
        <v>42</v>
      </c>
      <c r="F49">
        <v>8.0516613151071295E-2</v>
      </c>
      <c r="G49">
        <v>7.4516774819651896E-2</v>
      </c>
      <c r="H49">
        <v>1.07972677110417E-2</v>
      </c>
      <c r="I49">
        <v>1</v>
      </c>
      <c r="J49" t="s">
        <v>16</v>
      </c>
      <c r="K49" t="s">
        <v>32</v>
      </c>
      <c r="N49" t="str">
        <f t="shared" si="0"/>
        <v>0.264 (0.01)</v>
      </c>
      <c r="O49" s="1">
        <f t="shared" si="1"/>
        <v>25.83</v>
      </c>
      <c r="P49" s="2" t="str">
        <f t="shared" si="2"/>
        <v>&lt;0.001</v>
      </c>
      <c r="Q49" s="2">
        <f t="shared" si="4"/>
        <v>7.4999999999999997E-2</v>
      </c>
    </row>
    <row r="50" spans="1:17" x14ac:dyDescent="0.25">
      <c r="A50">
        <v>0.26335422351050097</v>
      </c>
      <c r="B50">
        <v>1.38544782741373E-2</v>
      </c>
      <c r="C50">
        <v>19.008599118605201</v>
      </c>
      <c r="D50" s="5">
        <v>3.3231252266814201E-78</v>
      </c>
      <c r="E50" t="s">
        <v>43</v>
      </c>
      <c r="F50">
        <v>5.0252241750803998E-2</v>
      </c>
      <c r="G50">
        <v>4.7847783373479801E-2</v>
      </c>
      <c r="H50">
        <v>5.8475427345834304E-3</v>
      </c>
      <c r="I50">
        <v>1</v>
      </c>
      <c r="J50" t="s">
        <v>16</v>
      </c>
      <c r="K50" t="s">
        <v>32</v>
      </c>
      <c r="N50" t="str">
        <f t="shared" si="0"/>
        <v>0.263 (0.014)</v>
      </c>
      <c r="O50" s="1">
        <f t="shared" si="1"/>
        <v>19.009</v>
      </c>
      <c r="P50" s="2" t="str">
        <f t="shared" si="2"/>
        <v>&lt;0.001</v>
      </c>
      <c r="Q50" s="2">
        <f t="shared" si="4"/>
        <v>4.8000000000000001E-2</v>
      </c>
    </row>
    <row r="51" spans="1:17" x14ac:dyDescent="0.25">
      <c r="A51">
        <v>0.27467288082093</v>
      </c>
      <c r="B51">
        <v>1.26932535012329E-2</v>
      </c>
      <c r="C51">
        <v>21.639281118450199</v>
      </c>
      <c r="D51" s="5">
        <v>6.2961690974480799E-100</v>
      </c>
      <c r="E51" t="s">
        <v>44</v>
      </c>
      <c r="F51">
        <v>8.0762070942275693E-2</v>
      </c>
      <c r="G51">
        <v>7.4726966382029206E-2</v>
      </c>
      <c r="H51">
        <v>7.5780739455459899E-3</v>
      </c>
      <c r="I51">
        <v>1</v>
      </c>
      <c r="J51" t="s">
        <v>16</v>
      </c>
      <c r="K51" t="s">
        <v>32</v>
      </c>
      <c r="N51" t="str">
        <f t="shared" si="0"/>
        <v>0.275 (0.013)</v>
      </c>
      <c r="O51" s="1">
        <f t="shared" si="1"/>
        <v>21.638999999999999</v>
      </c>
      <c r="P51" s="2" t="str">
        <f t="shared" si="2"/>
        <v>&lt;0.001</v>
      </c>
      <c r="Q51" s="2">
        <f t="shared" si="4"/>
        <v>7.4999999999999997E-2</v>
      </c>
    </row>
    <row r="52" spans="1:17" hidden="1" x14ac:dyDescent="0.25">
      <c r="A52">
        <v>0.20332772501560401</v>
      </c>
      <c r="B52">
        <v>1.19873349701171E-2</v>
      </c>
      <c r="C52">
        <v>16.961878976642801</v>
      </c>
      <c r="D52" s="5">
        <v>2.63919054342175E-62</v>
      </c>
      <c r="E52" t="s">
        <v>13</v>
      </c>
      <c r="F52" t="s">
        <v>14</v>
      </c>
      <c r="G52" t="s">
        <v>14</v>
      </c>
      <c r="H52" t="s">
        <v>14</v>
      </c>
      <c r="I52" t="s">
        <v>15</v>
      </c>
      <c r="J52" t="s">
        <v>16</v>
      </c>
      <c r="K52" t="s">
        <v>17</v>
      </c>
      <c r="L52" t="s">
        <v>45</v>
      </c>
      <c r="O52" s="1"/>
      <c r="P52" s="2"/>
      <c r="Q52" s="2"/>
    </row>
    <row r="53" spans="1:17" hidden="1" x14ac:dyDescent="0.25">
      <c r="A53" s="5">
        <v>8.4782072634519998E-7</v>
      </c>
      <c r="B53" s="5">
        <v>9.7171455688395806E-6</v>
      </c>
      <c r="C53">
        <v>8.7249976892797204E-2</v>
      </c>
      <c r="D53">
        <v>0.93047732081299095</v>
      </c>
      <c r="E53" t="s">
        <v>18</v>
      </c>
      <c r="F53">
        <v>0.167974810240235</v>
      </c>
      <c r="G53">
        <v>0.143817151506619</v>
      </c>
      <c r="H53" s="5">
        <v>6.6379717100773003E-7</v>
      </c>
      <c r="I53">
        <v>1</v>
      </c>
      <c r="J53" t="s">
        <v>16</v>
      </c>
      <c r="K53" t="s">
        <v>17</v>
      </c>
      <c r="L53" t="s">
        <v>45</v>
      </c>
      <c r="N53" t="str">
        <f t="shared" si="0"/>
        <v>0 (&lt;0.001)</v>
      </c>
      <c r="O53" s="1">
        <f t="shared" si="1"/>
        <v>8.6999999999999994E-2</v>
      </c>
      <c r="P53" s="2">
        <f t="shared" si="2"/>
        <v>0.93</v>
      </c>
      <c r="Q53" s="2">
        <f t="shared" si="3"/>
        <v>0.16800000000000001</v>
      </c>
    </row>
    <row r="54" spans="1:17" hidden="1" x14ac:dyDescent="0.25">
      <c r="A54">
        <v>0.596349930982503</v>
      </c>
      <c r="B54">
        <v>3.0023728593122901E-2</v>
      </c>
      <c r="C54">
        <v>19.862620631306299</v>
      </c>
      <c r="D54" s="5">
        <v>1.09178977283971E-83</v>
      </c>
      <c r="E54" t="s">
        <v>19</v>
      </c>
      <c r="F54">
        <v>1.5488621545683401</v>
      </c>
      <c r="G54">
        <v>0.607668073297846</v>
      </c>
      <c r="H54">
        <v>3.4401537296862003E-2</v>
      </c>
      <c r="I54">
        <v>1</v>
      </c>
      <c r="J54" t="s">
        <v>16</v>
      </c>
      <c r="K54" t="s">
        <v>17</v>
      </c>
      <c r="L54" t="s">
        <v>45</v>
      </c>
      <c r="N54" t="str">
        <f t="shared" si="0"/>
        <v>0.596 (0.03)</v>
      </c>
      <c r="O54" s="1">
        <f t="shared" si="1"/>
        <v>19.863</v>
      </c>
      <c r="P54" s="2" t="str">
        <f t="shared" si="2"/>
        <v>&lt;0.001</v>
      </c>
      <c r="Q54" s="2">
        <f t="shared" si="3"/>
        <v>1.5489999999999999</v>
      </c>
    </row>
    <row r="55" spans="1:17" hidden="1" x14ac:dyDescent="0.25">
      <c r="A55">
        <v>1.93135978339317E-2</v>
      </c>
      <c r="B55">
        <v>5.18982882918681E-3</v>
      </c>
      <c r="C55">
        <v>3.7214325307445599</v>
      </c>
      <c r="D55">
        <v>2.0090489006389001E-4</v>
      </c>
      <c r="E55" t="s">
        <v>20</v>
      </c>
      <c r="F55">
        <v>0.22971530470996299</v>
      </c>
      <c r="G55">
        <v>0.18680364782817999</v>
      </c>
      <c r="H55">
        <v>1.20760542116938E-3</v>
      </c>
      <c r="I55">
        <v>1</v>
      </c>
      <c r="J55" t="s">
        <v>16</v>
      </c>
      <c r="K55" t="s">
        <v>17</v>
      </c>
      <c r="L55" t="s">
        <v>45</v>
      </c>
      <c r="N55" t="str">
        <f t="shared" si="0"/>
        <v>0.019 (0.005)</v>
      </c>
      <c r="O55" s="1">
        <f t="shared" si="1"/>
        <v>3.7210000000000001</v>
      </c>
      <c r="P55" s="2" t="str">
        <f t="shared" si="2"/>
        <v>&lt;0.001</v>
      </c>
      <c r="Q55" s="2">
        <f t="shared" si="3"/>
        <v>0.23</v>
      </c>
    </row>
    <row r="56" spans="1:17" hidden="1" x14ac:dyDescent="0.25">
      <c r="A56">
        <v>-0.168309174823322</v>
      </c>
      <c r="B56">
        <v>2.5254313550815699E-2</v>
      </c>
      <c r="C56">
        <v>-6.6645713606373604</v>
      </c>
      <c r="D56" s="5">
        <v>3.0286158622666098E-11</v>
      </c>
      <c r="E56" t="s">
        <v>21</v>
      </c>
      <c r="F56">
        <v>1.14564125408893E-2</v>
      </c>
      <c r="G56">
        <v>1.1326649768435899E-2</v>
      </c>
      <c r="H56">
        <v>3.8730151842938398E-3</v>
      </c>
      <c r="I56">
        <v>0.99995402260475197</v>
      </c>
      <c r="J56" t="s">
        <v>16</v>
      </c>
      <c r="K56" t="s">
        <v>17</v>
      </c>
      <c r="L56" t="s">
        <v>45</v>
      </c>
      <c r="N56" t="str">
        <f t="shared" si="0"/>
        <v>-0.168 (0.025)</v>
      </c>
      <c r="O56" s="1">
        <f t="shared" si="1"/>
        <v>-6.665</v>
      </c>
      <c r="P56" s="2" t="str">
        <f t="shared" si="2"/>
        <v>&lt;0.001</v>
      </c>
      <c r="Q56" s="2">
        <f t="shared" si="3"/>
        <v>1.0999999999999999E-2</v>
      </c>
    </row>
    <row r="57" spans="1:17" hidden="1" x14ac:dyDescent="0.25">
      <c r="A57">
        <v>0.18415518316037499</v>
      </c>
      <c r="B57">
        <v>1.19210164008852E-2</v>
      </c>
      <c r="C57">
        <v>15.447943108835901</v>
      </c>
      <c r="D57" s="5">
        <v>2.7356505301748601E-52</v>
      </c>
      <c r="E57" t="s">
        <v>13</v>
      </c>
      <c r="F57" t="s">
        <v>14</v>
      </c>
      <c r="G57" t="s">
        <v>14</v>
      </c>
      <c r="H57" t="s">
        <v>14</v>
      </c>
      <c r="I57" t="s">
        <v>15</v>
      </c>
      <c r="J57" t="s">
        <v>16</v>
      </c>
      <c r="K57" t="s">
        <v>22</v>
      </c>
      <c r="L57" t="s">
        <v>45</v>
      </c>
      <c r="O57" s="1"/>
      <c r="P57" s="2"/>
      <c r="Q57" s="2"/>
    </row>
    <row r="58" spans="1:17" hidden="1" x14ac:dyDescent="0.25">
      <c r="A58" s="5">
        <v>8.4782072634465598E-7</v>
      </c>
      <c r="B58" s="5">
        <v>9.5638846406940505E-6</v>
      </c>
      <c r="C58">
        <v>8.8648154823742206E-2</v>
      </c>
      <c r="D58">
        <v>0.92936611647211798</v>
      </c>
      <c r="E58" t="s">
        <v>18</v>
      </c>
      <c r="F58">
        <v>0.17344626464514501</v>
      </c>
      <c r="G58">
        <v>0.14780929461443701</v>
      </c>
      <c r="H58" s="5">
        <v>6.63797170785685E-7</v>
      </c>
      <c r="I58">
        <v>1</v>
      </c>
      <c r="J58" t="s">
        <v>16</v>
      </c>
      <c r="K58" t="s">
        <v>22</v>
      </c>
      <c r="L58" t="s">
        <v>45</v>
      </c>
      <c r="N58" t="str">
        <f t="shared" si="0"/>
        <v>0 (&lt;0.001)</v>
      </c>
      <c r="O58" s="1">
        <f t="shared" si="1"/>
        <v>8.8999999999999996E-2</v>
      </c>
      <c r="P58" s="2">
        <f t="shared" si="2"/>
        <v>0.92900000000000005</v>
      </c>
      <c r="Q58" s="2">
        <f t="shared" si="3"/>
        <v>0.17299999999999999</v>
      </c>
    </row>
    <row r="59" spans="1:17" hidden="1" x14ac:dyDescent="0.25">
      <c r="A59">
        <v>0.59634993098250499</v>
      </c>
      <c r="B59">
        <v>2.9550187831798101E-2</v>
      </c>
      <c r="C59">
        <v>20.1809184556448</v>
      </c>
      <c r="D59" s="5">
        <v>3.3468021896317403E-86</v>
      </c>
      <c r="E59" t="s">
        <v>19</v>
      </c>
      <c r="F59">
        <v>1.59931334213683</v>
      </c>
      <c r="G59">
        <v>0.61528301194425306</v>
      </c>
      <c r="H59">
        <v>3.4401537296862697E-2</v>
      </c>
      <c r="I59">
        <v>1</v>
      </c>
      <c r="J59" t="s">
        <v>16</v>
      </c>
      <c r="K59" t="s">
        <v>22</v>
      </c>
      <c r="L59" t="s">
        <v>45</v>
      </c>
      <c r="N59" t="str">
        <f t="shared" si="0"/>
        <v>0.596 (0.03)</v>
      </c>
      <c r="O59" s="1">
        <f t="shared" si="1"/>
        <v>20.181000000000001</v>
      </c>
      <c r="P59" s="2" t="str">
        <f t="shared" si="2"/>
        <v>&lt;0.001</v>
      </c>
      <c r="Q59" s="2">
        <f t="shared" si="3"/>
        <v>1.599</v>
      </c>
    </row>
    <row r="60" spans="1:17" hidden="1" x14ac:dyDescent="0.25">
      <c r="A60">
        <v>1.9313597833932002E-2</v>
      </c>
      <c r="B60">
        <v>5.1079737229066001E-3</v>
      </c>
      <c r="C60">
        <v>3.7810683612800502</v>
      </c>
      <c r="D60">
        <v>1.5850899017387E-4</v>
      </c>
      <c r="E60" t="s">
        <v>20</v>
      </c>
      <c r="F60">
        <v>0.23719783625164501</v>
      </c>
      <c r="G60">
        <v>0.19172183243569699</v>
      </c>
      <c r="H60">
        <v>1.20760542116904E-3</v>
      </c>
      <c r="I60">
        <v>1</v>
      </c>
      <c r="J60" t="s">
        <v>16</v>
      </c>
      <c r="K60" t="s">
        <v>22</v>
      </c>
      <c r="L60" t="s">
        <v>45</v>
      </c>
      <c r="N60" t="str">
        <f t="shared" si="0"/>
        <v>0.019 (0.005)</v>
      </c>
      <c r="O60" s="1">
        <f t="shared" si="1"/>
        <v>3.7810000000000001</v>
      </c>
      <c r="P60" s="2" t="str">
        <f t="shared" si="2"/>
        <v>&lt;0.001</v>
      </c>
      <c r="Q60" s="2">
        <f t="shared" si="3"/>
        <v>0.23699999999999999</v>
      </c>
    </row>
    <row r="61" spans="1:17" hidden="1" x14ac:dyDescent="0.25">
      <c r="A61">
        <v>-0.168309174823324</v>
      </c>
      <c r="B61">
        <v>2.4855997038311501E-2</v>
      </c>
      <c r="C61">
        <v>-6.7713708914553896</v>
      </c>
      <c r="D61" s="5">
        <v>1.4679160125375001E-11</v>
      </c>
      <c r="E61" t="s">
        <v>21</v>
      </c>
      <c r="F61">
        <v>1.18295830107453E-2</v>
      </c>
      <c r="G61">
        <v>1.1691280042975E-2</v>
      </c>
      <c r="H61">
        <v>3.8730151842939499E-3</v>
      </c>
      <c r="I61">
        <v>0.99994357988317495</v>
      </c>
      <c r="J61" t="s">
        <v>16</v>
      </c>
      <c r="K61" t="s">
        <v>22</v>
      </c>
      <c r="L61" t="s">
        <v>45</v>
      </c>
      <c r="N61" t="str">
        <f t="shared" si="0"/>
        <v>-0.168 (0.025)</v>
      </c>
      <c r="O61" s="1">
        <f t="shared" si="1"/>
        <v>-6.7709999999999999</v>
      </c>
      <c r="P61" s="2" t="str">
        <f t="shared" si="2"/>
        <v>&lt;0.001</v>
      </c>
      <c r="Q61" s="2">
        <f t="shared" si="3"/>
        <v>1.2E-2</v>
      </c>
    </row>
    <row r="62" spans="1:17" hidden="1" x14ac:dyDescent="0.25">
      <c r="A62">
        <v>3.8345083710458902E-2</v>
      </c>
      <c r="B62">
        <v>3.4126244135552698E-3</v>
      </c>
      <c r="C62">
        <v>11.236244914075099</v>
      </c>
      <c r="D62" s="5">
        <v>7.5228689509433503E-29</v>
      </c>
      <c r="E62" t="s">
        <v>24</v>
      </c>
      <c r="F62">
        <v>3.2573064955902502E-2</v>
      </c>
      <c r="G62">
        <v>3.1545530346846297E-2</v>
      </c>
      <c r="H62">
        <v>1.0664448193871801E-2</v>
      </c>
      <c r="I62">
        <v>1</v>
      </c>
      <c r="J62" t="s">
        <v>16</v>
      </c>
      <c r="K62" t="s">
        <v>22</v>
      </c>
      <c r="L62" t="s">
        <v>45</v>
      </c>
      <c r="N62" t="str">
        <f t="shared" si="0"/>
        <v>0.038 (0.003)</v>
      </c>
      <c r="O62" s="1">
        <f t="shared" si="1"/>
        <v>11.236000000000001</v>
      </c>
      <c r="P62" s="2" t="str">
        <f t="shared" si="2"/>
        <v>&lt;0.001</v>
      </c>
      <c r="Q62" s="2">
        <f t="shared" si="3"/>
        <v>3.3000000000000002E-2</v>
      </c>
    </row>
    <row r="63" spans="1:17" hidden="1" x14ac:dyDescent="0.25">
      <c r="A63">
        <v>0.13078951071262901</v>
      </c>
      <c r="B63">
        <v>7.38100448905074E-3</v>
      </c>
      <c r="C63">
        <v>17.719744095352802</v>
      </c>
      <c r="D63" s="5">
        <v>1.29416662461683E-67</v>
      </c>
      <c r="E63" t="s">
        <v>13</v>
      </c>
      <c r="F63" t="s">
        <v>14</v>
      </c>
      <c r="G63" t="s">
        <v>14</v>
      </c>
      <c r="H63" t="s">
        <v>14</v>
      </c>
      <c r="I63" t="s">
        <v>15</v>
      </c>
      <c r="J63" t="s">
        <v>16</v>
      </c>
      <c r="K63" t="s">
        <v>25</v>
      </c>
      <c r="L63" t="s">
        <v>45</v>
      </c>
      <c r="O63" s="1"/>
      <c r="P63" s="2"/>
      <c r="Q63" s="2"/>
    </row>
    <row r="64" spans="1:17" hidden="1" x14ac:dyDescent="0.25">
      <c r="A64" s="5">
        <v>-7.2519360609164498E-6</v>
      </c>
      <c r="B64" s="5">
        <v>5.8941398917091402E-6</v>
      </c>
      <c r="C64">
        <v>-1.23036375012361</v>
      </c>
      <c r="D64">
        <v>0.21863570159186699</v>
      </c>
      <c r="E64" t="s">
        <v>18</v>
      </c>
      <c r="F64">
        <v>0.45819670701194798</v>
      </c>
      <c r="G64">
        <v>0.31422146601253698</v>
      </c>
      <c r="H64" s="5">
        <v>4.8478462803758199E-5</v>
      </c>
      <c r="I64">
        <v>1</v>
      </c>
      <c r="J64" t="s">
        <v>16</v>
      </c>
      <c r="K64" t="s">
        <v>25</v>
      </c>
      <c r="L64" t="s">
        <v>45</v>
      </c>
      <c r="N64" t="str">
        <f t="shared" si="0"/>
        <v>0 (&lt;0.001)</v>
      </c>
      <c r="O64" s="1">
        <f t="shared" si="1"/>
        <v>-1.23</v>
      </c>
      <c r="P64" s="2">
        <f t="shared" si="2"/>
        <v>0.219</v>
      </c>
      <c r="Q64" s="2">
        <f t="shared" si="3"/>
        <v>0.45800000000000002</v>
      </c>
    </row>
    <row r="65" spans="1:17" hidden="1" x14ac:dyDescent="0.25">
      <c r="A65">
        <v>0.61639861692117504</v>
      </c>
      <c r="B65">
        <v>1.8203998755364499E-2</v>
      </c>
      <c r="C65">
        <v>33.860616296709502</v>
      </c>
      <c r="D65" s="5">
        <v>2.3248705476452799E-220</v>
      </c>
      <c r="E65" t="s">
        <v>19</v>
      </c>
      <c r="F65">
        <v>4.2249402623147301</v>
      </c>
      <c r="G65">
        <v>0.80861025202286596</v>
      </c>
      <c r="H65">
        <v>3.67173646797265E-2</v>
      </c>
      <c r="I65">
        <v>1</v>
      </c>
      <c r="J65" t="s">
        <v>16</v>
      </c>
      <c r="K65" t="s">
        <v>25</v>
      </c>
      <c r="L65" t="s">
        <v>45</v>
      </c>
      <c r="N65" t="str">
        <f t="shared" si="0"/>
        <v>0.616 (0.018)</v>
      </c>
      <c r="O65" s="1">
        <f t="shared" si="1"/>
        <v>33.860999999999997</v>
      </c>
      <c r="P65" s="2" t="str">
        <f t="shared" si="2"/>
        <v>&lt;0.001</v>
      </c>
      <c r="Q65" s="2">
        <f t="shared" si="3"/>
        <v>4.2249999999999996</v>
      </c>
    </row>
    <row r="66" spans="1:17" hidden="1" x14ac:dyDescent="0.25">
      <c r="A66">
        <v>2.4165388274414699E-2</v>
      </c>
      <c r="B66">
        <v>3.14690943270078E-3</v>
      </c>
      <c r="C66">
        <v>7.6790860338408899</v>
      </c>
      <c r="D66" s="5">
        <v>2.01637855952299E-14</v>
      </c>
      <c r="E66" t="s">
        <v>20</v>
      </c>
      <c r="F66">
        <v>0.62661059725453805</v>
      </c>
      <c r="G66">
        <v>0.385224711010833</v>
      </c>
      <c r="H66">
        <v>1.8884298330295E-3</v>
      </c>
      <c r="I66">
        <v>1</v>
      </c>
      <c r="J66" t="s">
        <v>16</v>
      </c>
      <c r="K66" t="s">
        <v>25</v>
      </c>
      <c r="L66" t="s">
        <v>45</v>
      </c>
      <c r="N66" t="str">
        <f t="shared" si="0"/>
        <v>0.024 (0.003)</v>
      </c>
      <c r="O66" s="1">
        <f t="shared" si="1"/>
        <v>7.6790000000000003</v>
      </c>
      <c r="P66" s="2" t="str">
        <f t="shared" si="2"/>
        <v>&lt;0.001</v>
      </c>
      <c r="Q66" s="2">
        <f t="shared" si="3"/>
        <v>0.627</v>
      </c>
    </row>
    <row r="67" spans="1:17" hidden="1" x14ac:dyDescent="0.25">
      <c r="A67">
        <v>-0.18948517173496299</v>
      </c>
      <c r="B67">
        <v>1.5311136786284501E-2</v>
      </c>
      <c r="C67">
        <v>-12.3756435841329</v>
      </c>
      <c r="D67" s="5">
        <v>1.58010278743658E-34</v>
      </c>
      <c r="E67" t="s">
        <v>21</v>
      </c>
      <c r="F67">
        <v>3.1250462452664197E-2</v>
      </c>
      <c r="G67">
        <v>3.0303465152723402E-2</v>
      </c>
      <c r="H67">
        <v>4.9047556108378102E-3</v>
      </c>
      <c r="I67">
        <v>0.99999999999981304</v>
      </c>
      <c r="J67" t="s">
        <v>16</v>
      </c>
      <c r="K67" t="s">
        <v>25</v>
      </c>
      <c r="L67" t="s">
        <v>45</v>
      </c>
      <c r="N67" t="str">
        <f t="shared" ref="N67:N134" si="5">_xlfn.CONCAT(ROUND(A67,3), " (",IF(B67&lt;0.001, "&lt;0.001",ROUND(B67,3)),")")</f>
        <v>-0.189 (0.015)</v>
      </c>
      <c r="O67" s="1">
        <f t="shared" ref="O67:O134" si="6">ROUND(C67,3)</f>
        <v>-12.375999999999999</v>
      </c>
      <c r="P67" s="2" t="str">
        <f t="shared" ref="P67:P134" si="7">IF(D67&lt;0.001, "&lt;0.001",ROUND(D67,3))</f>
        <v>&lt;0.001</v>
      </c>
      <c r="Q67" s="2">
        <f t="shared" ref="Q67:Q134" si="8">IF(F67&lt;0.001,"&lt;0.001",ROUND(F67,3))</f>
        <v>3.1E-2</v>
      </c>
    </row>
    <row r="68" spans="1:17" hidden="1" x14ac:dyDescent="0.25">
      <c r="A68">
        <v>3.8345083710458798E-2</v>
      </c>
      <c r="B68">
        <v>2.1012677198329701E-3</v>
      </c>
      <c r="C68">
        <v>18.248547459486399</v>
      </c>
      <c r="D68" s="5">
        <v>1.9440878338381201E-71</v>
      </c>
      <c r="E68" t="s">
        <v>24</v>
      </c>
      <c r="F68">
        <v>8.6048962372384796E-2</v>
      </c>
      <c r="G68">
        <v>7.9231199838741995E-2</v>
      </c>
      <c r="H68">
        <v>1.06644481938717E-2</v>
      </c>
      <c r="I68">
        <v>1</v>
      </c>
      <c r="J68" t="s">
        <v>16</v>
      </c>
      <c r="K68" t="s">
        <v>25</v>
      </c>
      <c r="L68" t="s">
        <v>45</v>
      </c>
      <c r="N68" t="str">
        <f t="shared" si="5"/>
        <v>0.038 (0.002)</v>
      </c>
      <c r="O68" s="1">
        <f t="shared" si="6"/>
        <v>18.248999999999999</v>
      </c>
      <c r="P68" s="2" t="str">
        <f t="shared" si="7"/>
        <v>&lt;0.001</v>
      </c>
      <c r="Q68" s="2">
        <f t="shared" si="8"/>
        <v>8.5999999999999993E-2</v>
      </c>
    </row>
    <row r="69" spans="1:17" hidden="1" x14ac:dyDescent="0.25">
      <c r="A69">
        <v>4.0544540807120499E-2</v>
      </c>
      <c r="B69">
        <v>5.22465132435611E-3</v>
      </c>
      <c r="C69">
        <v>7.7602385862787102</v>
      </c>
      <c r="D69" s="5">
        <v>1.0771371854754601E-14</v>
      </c>
      <c r="E69" t="s">
        <v>26</v>
      </c>
      <c r="F69">
        <v>4.0039489257914498E-3</v>
      </c>
      <c r="G69">
        <v>3.9879812525392697E-3</v>
      </c>
      <c r="H69">
        <v>1.9285545764809999E-3</v>
      </c>
      <c r="I69">
        <v>0.75901826335039402</v>
      </c>
      <c r="J69" t="s">
        <v>16</v>
      </c>
      <c r="K69" t="s">
        <v>25</v>
      </c>
      <c r="L69" t="s">
        <v>45</v>
      </c>
      <c r="N69" t="str">
        <f t="shared" si="5"/>
        <v>0.041 (0.005)</v>
      </c>
      <c r="O69" s="1">
        <f t="shared" si="6"/>
        <v>7.76</v>
      </c>
      <c r="P69" s="2" t="str">
        <f t="shared" si="7"/>
        <v>&lt;0.001</v>
      </c>
      <c r="Q69" s="2">
        <f t="shared" si="8"/>
        <v>4.0000000000000001E-3</v>
      </c>
    </row>
    <row r="70" spans="1:17" hidden="1" x14ac:dyDescent="0.25">
      <c r="A70">
        <v>8.7063583489310897E-2</v>
      </c>
      <c r="B70">
        <v>4.4292443025423199E-3</v>
      </c>
      <c r="C70">
        <v>19.6565322529935</v>
      </c>
      <c r="D70" s="5">
        <v>4.5253772894696102E-82</v>
      </c>
      <c r="E70" t="s">
        <v>27</v>
      </c>
      <c r="F70">
        <v>9.4120151326620802E-3</v>
      </c>
      <c r="G70">
        <v>9.3242551025362105E-3</v>
      </c>
      <c r="H70">
        <v>1.23735863300873E-2</v>
      </c>
      <c r="I70">
        <v>0.99492499612087204</v>
      </c>
      <c r="J70" t="s">
        <v>16</v>
      </c>
      <c r="K70" t="s">
        <v>25</v>
      </c>
      <c r="L70" t="s">
        <v>45</v>
      </c>
      <c r="N70" t="str">
        <f t="shared" si="5"/>
        <v>0.087 (0.004)</v>
      </c>
      <c r="O70" s="1">
        <f t="shared" si="6"/>
        <v>19.657</v>
      </c>
      <c r="P70" s="2" t="str">
        <f t="shared" si="7"/>
        <v>&lt;0.001</v>
      </c>
      <c r="Q70" s="2">
        <f t="shared" si="8"/>
        <v>8.9999999999999993E-3</v>
      </c>
    </row>
    <row r="71" spans="1:17" hidden="1" x14ac:dyDescent="0.25">
      <c r="A71">
        <v>0.10981176153745401</v>
      </c>
      <c r="B71">
        <v>4.4233096389442199E-3</v>
      </c>
      <c r="C71">
        <v>24.825700776323</v>
      </c>
      <c r="D71" s="5">
        <v>2.2508397154514299E-126</v>
      </c>
      <c r="E71" t="s">
        <v>28</v>
      </c>
      <c r="F71">
        <v>3.9923994813309001E-2</v>
      </c>
      <c r="G71">
        <v>3.8391262258042499E-2</v>
      </c>
      <c r="H71">
        <v>1.9737167154874499E-2</v>
      </c>
      <c r="I71">
        <v>1</v>
      </c>
      <c r="J71" t="s">
        <v>16</v>
      </c>
      <c r="K71" t="s">
        <v>25</v>
      </c>
      <c r="L71" t="s">
        <v>45</v>
      </c>
      <c r="N71" t="str">
        <f t="shared" si="5"/>
        <v>0.11 (0.004)</v>
      </c>
      <c r="O71" s="1">
        <f t="shared" si="6"/>
        <v>24.826000000000001</v>
      </c>
      <c r="P71" s="2" t="str">
        <f t="shared" si="7"/>
        <v>&lt;0.001</v>
      </c>
      <c r="Q71" s="2">
        <f t="shared" si="8"/>
        <v>0.04</v>
      </c>
    </row>
    <row r="72" spans="1:17" hidden="1" x14ac:dyDescent="0.25">
      <c r="A72">
        <v>0.20962195440607001</v>
      </c>
      <c r="B72">
        <v>3.4478898491865201E-3</v>
      </c>
      <c r="C72">
        <v>60.797172640398301</v>
      </c>
      <c r="D72">
        <v>0</v>
      </c>
      <c r="E72" t="s">
        <v>29</v>
      </c>
      <c r="F72">
        <v>0.69065451441909798</v>
      </c>
      <c r="G72">
        <v>0.40851309864239399</v>
      </c>
      <c r="H72">
        <v>0.11837188186617301</v>
      </c>
      <c r="I72">
        <v>1</v>
      </c>
      <c r="J72" t="s">
        <v>16</v>
      </c>
      <c r="K72" t="s">
        <v>25</v>
      </c>
      <c r="L72" t="s">
        <v>45</v>
      </c>
      <c r="N72" t="str">
        <f t="shared" si="5"/>
        <v>0.21 (0.003)</v>
      </c>
      <c r="O72" s="1">
        <f t="shared" si="6"/>
        <v>60.796999999999997</v>
      </c>
      <c r="P72" s="2" t="str">
        <f t="shared" si="7"/>
        <v>&lt;0.001</v>
      </c>
      <c r="Q72" s="2">
        <f t="shared" si="8"/>
        <v>0.69099999999999995</v>
      </c>
    </row>
    <row r="73" spans="1:17" hidden="1" x14ac:dyDescent="0.25">
      <c r="A73">
        <v>0.20766028290417901</v>
      </c>
      <c r="B73">
        <v>4.6668545663153304E-3</v>
      </c>
      <c r="C73">
        <v>44.4968404207494</v>
      </c>
      <c r="D73">
        <v>0</v>
      </c>
      <c r="E73" t="s">
        <v>30</v>
      </c>
      <c r="F73">
        <v>0.42856361517799901</v>
      </c>
      <c r="G73">
        <v>0.29999617141627999</v>
      </c>
      <c r="H73">
        <v>6.3407427603921901E-2</v>
      </c>
      <c r="I73">
        <v>1</v>
      </c>
      <c r="J73" t="s">
        <v>16</v>
      </c>
      <c r="K73" t="s">
        <v>25</v>
      </c>
      <c r="L73" t="s">
        <v>45</v>
      </c>
      <c r="N73" t="str">
        <f t="shared" si="5"/>
        <v>0.208 (0.005)</v>
      </c>
      <c r="O73" s="1">
        <f t="shared" si="6"/>
        <v>44.497</v>
      </c>
      <c r="P73" s="2" t="str">
        <f t="shared" si="7"/>
        <v>&lt;0.001</v>
      </c>
      <c r="Q73" s="2">
        <f t="shared" si="8"/>
        <v>0.42899999999999999</v>
      </c>
    </row>
    <row r="74" spans="1:17" hidden="1" x14ac:dyDescent="0.25">
      <c r="A74">
        <v>0.18206217338886699</v>
      </c>
      <c r="B74">
        <v>4.2726982649005296E-3</v>
      </c>
      <c r="C74">
        <v>42.610585185589997</v>
      </c>
      <c r="D74">
        <v>0</v>
      </c>
      <c r="E74" t="s">
        <v>31</v>
      </c>
      <c r="F74">
        <v>0.46916329970501802</v>
      </c>
      <c r="G74">
        <v>0.31934047072862398</v>
      </c>
      <c r="H74">
        <v>5.8145590210810998E-2</v>
      </c>
      <c r="I74">
        <v>1</v>
      </c>
      <c r="J74" t="s">
        <v>16</v>
      </c>
      <c r="K74" t="s">
        <v>25</v>
      </c>
      <c r="L74" t="s">
        <v>45</v>
      </c>
      <c r="N74" t="str">
        <f t="shared" si="5"/>
        <v>0.182 (0.004)</v>
      </c>
      <c r="O74" s="1">
        <f t="shared" si="6"/>
        <v>42.610999999999997</v>
      </c>
      <c r="P74" s="2" t="str">
        <f t="shared" si="7"/>
        <v>&lt;0.001</v>
      </c>
      <c r="Q74" s="2">
        <f t="shared" si="8"/>
        <v>0.46899999999999997</v>
      </c>
    </row>
    <row r="75" spans="1:17" x14ac:dyDescent="0.25">
      <c r="A75">
        <v>0.13357610764335501</v>
      </c>
      <c r="B75">
        <v>7.4062217286988696E-3</v>
      </c>
      <c r="C75">
        <v>18.035661439320901</v>
      </c>
      <c r="D75" s="5">
        <v>6.9727148356529601E-70</v>
      </c>
      <c r="E75" t="s">
        <v>13</v>
      </c>
      <c r="F75" t="s">
        <v>14</v>
      </c>
      <c r="G75" t="s">
        <v>14</v>
      </c>
      <c r="H75" t="s">
        <v>14</v>
      </c>
      <c r="I75" t="s">
        <v>15</v>
      </c>
      <c r="J75" t="s">
        <v>16</v>
      </c>
      <c r="K75" t="s">
        <v>32</v>
      </c>
      <c r="L75" t="s">
        <v>45</v>
      </c>
      <c r="O75" s="1"/>
      <c r="P75" s="2"/>
      <c r="Q75" s="2" t="e">
        <f t="shared" ref="Q75:Q79" si="9">IF(G75&lt;0.001,"&lt;0.001",ROUND(G75,3))</f>
        <v>#VALUE!</v>
      </c>
    </row>
    <row r="76" spans="1:17" x14ac:dyDescent="0.25">
      <c r="A76" s="5">
        <v>-7.2519360609166302E-6</v>
      </c>
      <c r="B76" s="5">
        <v>5.87426051765984E-6</v>
      </c>
      <c r="C76">
        <v>-1.23452748462808</v>
      </c>
      <c r="D76">
        <v>0.21708148187418799</v>
      </c>
      <c r="E76" t="s">
        <v>18</v>
      </c>
      <c r="F76">
        <v>0.46201947580062702</v>
      </c>
      <c r="G76">
        <v>0.31601458355923601</v>
      </c>
      <c r="H76" s="5">
        <v>4.8478462803647198E-5</v>
      </c>
      <c r="I76">
        <v>1</v>
      </c>
      <c r="J76" t="s">
        <v>16</v>
      </c>
      <c r="K76" t="s">
        <v>32</v>
      </c>
      <c r="L76" t="s">
        <v>45</v>
      </c>
      <c r="N76" t="str">
        <f t="shared" si="5"/>
        <v>0 (&lt;0.001)</v>
      </c>
      <c r="O76" s="1">
        <f t="shared" si="6"/>
        <v>-1.2350000000000001</v>
      </c>
      <c r="P76" s="2">
        <f t="shared" si="7"/>
        <v>0.217</v>
      </c>
      <c r="Q76" s="2">
        <f t="shared" si="9"/>
        <v>0.316</v>
      </c>
    </row>
    <row r="77" spans="1:17" x14ac:dyDescent="0.25">
      <c r="A77">
        <v>0.61639861692117504</v>
      </c>
      <c r="B77">
        <v>1.81426014850079E-2</v>
      </c>
      <c r="C77">
        <v>33.975205674364602</v>
      </c>
      <c r="D77" s="5">
        <v>1.2735461171707699E-221</v>
      </c>
      <c r="E77" t="s">
        <v>19</v>
      </c>
      <c r="F77">
        <v>4.2601892493145304</v>
      </c>
      <c r="G77">
        <v>0.80989277141876304</v>
      </c>
      <c r="H77">
        <v>3.6717364679726999E-2</v>
      </c>
      <c r="I77">
        <v>1</v>
      </c>
      <c r="J77" t="s">
        <v>16</v>
      </c>
      <c r="K77" t="s">
        <v>32</v>
      </c>
      <c r="L77" t="s">
        <v>45</v>
      </c>
      <c r="N77" t="str">
        <f t="shared" si="5"/>
        <v>0.616 (0.018)</v>
      </c>
      <c r="O77" s="1">
        <f t="shared" si="6"/>
        <v>33.975000000000001</v>
      </c>
      <c r="P77" s="2" t="str">
        <f t="shared" si="7"/>
        <v>&lt;0.001</v>
      </c>
      <c r="Q77" s="2">
        <f t="shared" si="9"/>
        <v>0.81</v>
      </c>
    </row>
    <row r="78" spans="1:17" x14ac:dyDescent="0.25">
      <c r="A78">
        <v>2.4165388274414799E-2</v>
      </c>
      <c r="B78">
        <v>3.1362957399718502E-3</v>
      </c>
      <c r="C78">
        <v>7.7050732067224299</v>
      </c>
      <c r="D78" s="5">
        <v>1.65128527303136E-14</v>
      </c>
      <c r="E78" t="s">
        <v>20</v>
      </c>
      <c r="F78">
        <v>0.63183845550227902</v>
      </c>
      <c r="G78">
        <v>0.38719424301580102</v>
      </c>
      <c r="H78">
        <v>1.88842983302961E-3</v>
      </c>
      <c r="I78">
        <v>1</v>
      </c>
      <c r="J78" t="s">
        <v>16</v>
      </c>
      <c r="K78" t="s">
        <v>32</v>
      </c>
      <c r="L78" t="s">
        <v>45</v>
      </c>
      <c r="N78" t="str">
        <f t="shared" si="5"/>
        <v>0.024 (0.003)</v>
      </c>
      <c r="O78" s="1">
        <f t="shared" si="6"/>
        <v>7.7050000000000001</v>
      </c>
      <c r="P78" s="2" t="str">
        <f t="shared" si="7"/>
        <v>&lt;0.001</v>
      </c>
      <c r="Q78" s="2">
        <f t="shared" si="9"/>
        <v>0.38700000000000001</v>
      </c>
    </row>
    <row r="79" spans="1:17" x14ac:dyDescent="0.25">
      <c r="A79">
        <v>-0.18948517173496299</v>
      </c>
      <c r="B79">
        <v>1.52594963737923E-2</v>
      </c>
      <c r="C79">
        <v>-12.4175246085053</v>
      </c>
      <c r="D79" s="5">
        <v>9.5812575115662205E-35</v>
      </c>
      <c r="E79" t="s">
        <v>21</v>
      </c>
      <c r="F79">
        <v>3.15111873567668E-2</v>
      </c>
      <c r="G79">
        <v>3.0548565777084601E-2</v>
      </c>
      <c r="H79">
        <v>4.9047556108380297E-3</v>
      </c>
      <c r="I79">
        <v>0.999999999995551</v>
      </c>
      <c r="J79" t="s">
        <v>16</v>
      </c>
      <c r="K79" t="s">
        <v>32</v>
      </c>
      <c r="L79" t="s">
        <v>45</v>
      </c>
      <c r="N79" t="str">
        <f t="shared" si="5"/>
        <v>-0.189 (0.015)</v>
      </c>
      <c r="O79" s="1">
        <f t="shared" si="6"/>
        <v>-12.417999999999999</v>
      </c>
      <c r="P79" s="2" t="str">
        <f t="shared" si="7"/>
        <v>&lt;0.001</v>
      </c>
      <c r="Q79" s="2">
        <f t="shared" si="9"/>
        <v>3.1E-2</v>
      </c>
    </row>
    <row r="80" spans="1:17" hidden="1" x14ac:dyDescent="0.25">
      <c r="D80" s="5"/>
      <c r="O80" s="1"/>
      <c r="P80" s="2"/>
      <c r="Q80" s="2"/>
    </row>
    <row r="81" spans="1:17" hidden="1" x14ac:dyDescent="0.25">
      <c r="D81" s="5"/>
      <c r="O81" s="1"/>
      <c r="P81" s="2"/>
      <c r="Q81" s="2"/>
    </row>
    <row r="82" spans="1:17" x14ac:dyDescent="0.25">
      <c r="A82">
        <v>3.2771889849008001E-2</v>
      </c>
      <c r="B82">
        <v>2.7100992904407102E-3</v>
      </c>
      <c r="C82">
        <v>12.0925052320421</v>
      </c>
      <c r="D82" s="5">
        <v>4.5444090754619803E-33</v>
      </c>
      <c r="E82" t="s">
        <v>24</v>
      </c>
      <c r="F82">
        <v>8.6766875187168205E-2</v>
      </c>
      <c r="G82">
        <v>7.9839455147383595E-2</v>
      </c>
      <c r="H82">
        <v>4.6513592305450499E-3</v>
      </c>
      <c r="I82">
        <v>1</v>
      </c>
      <c r="J82" t="s">
        <v>16</v>
      </c>
      <c r="K82" t="s">
        <v>32</v>
      </c>
      <c r="L82" t="s">
        <v>45</v>
      </c>
      <c r="N82" t="str">
        <f t="shared" si="5"/>
        <v>0.033 (0.003)</v>
      </c>
      <c r="O82" s="1">
        <f t="shared" si="6"/>
        <v>12.093</v>
      </c>
      <c r="P82" s="2" t="str">
        <f t="shared" si="7"/>
        <v>&lt;0.001</v>
      </c>
      <c r="Q82" s="2">
        <f>IF(G82&lt;0.001,"&lt;0.001",ROUND(G82,3))</f>
        <v>0.08</v>
      </c>
    </row>
    <row r="83" spans="1:17" hidden="1" x14ac:dyDescent="0.25">
      <c r="D83" s="5"/>
      <c r="O83" s="1"/>
      <c r="P83" s="2"/>
      <c r="Q83" s="2"/>
    </row>
    <row r="84" spans="1:17" x14ac:dyDescent="0.25">
      <c r="A84">
        <v>2.9893681719859299E-2</v>
      </c>
      <c r="B84">
        <v>7.3475095041725096E-3</v>
      </c>
      <c r="C84">
        <v>4.0685461792030697</v>
      </c>
      <c r="D84" s="5">
        <v>4.8252045188370398E-5</v>
      </c>
      <c r="E84" t="s">
        <v>26</v>
      </c>
      <c r="F84">
        <v>4.0373541658351797E-3</v>
      </c>
      <c r="G84">
        <v>4.0211194823418298E-3</v>
      </c>
      <c r="H84">
        <v>5.2653326437368498E-4</v>
      </c>
      <c r="I84">
        <v>0.67174324122826901</v>
      </c>
      <c r="J84" t="s">
        <v>16</v>
      </c>
      <c r="K84" t="s">
        <v>32</v>
      </c>
      <c r="L84" t="s">
        <v>45</v>
      </c>
      <c r="N84" t="str">
        <f t="shared" si="5"/>
        <v>0.03 (0.007)</v>
      </c>
      <c r="O84" s="1">
        <f t="shared" si="6"/>
        <v>4.069</v>
      </c>
      <c r="P84" s="2" t="str">
        <f t="shared" si="7"/>
        <v>&lt;0.001</v>
      </c>
      <c r="Q84" s="2">
        <f t="shared" ref="Q84:Q89" si="10">IF(G84&lt;0.001,"&lt;0.001",ROUND(G84,3))</f>
        <v>4.0000000000000001E-3</v>
      </c>
    </row>
    <row r="85" spans="1:17" x14ac:dyDescent="0.25">
      <c r="A85">
        <v>8.8169111190674304E-2</v>
      </c>
      <c r="B85">
        <v>6.23778251417746E-3</v>
      </c>
      <c r="C85">
        <v>14.1346882470301</v>
      </c>
      <c r="D85" s="5">
        <v>2.8911488905662599E-44</v>
      </c>
      <c r="E85" t="s">
        <v>27</v>
      </c>
      <c r="F85">
        <v>9.4905402663810808E-3</v>
      </c>
      <c r="G85">
        <v>9.4013166917609192E-3</v>
      </c>
      <c r="H85">
        <v>6.3550618607732803E-3</v>
      </c>
      <c r="I85">
        <v>0.98710468943420704</v>
      </c>
      <c r="J85" t="s">
        <v>16</v>
      </c>
      <c r="K85" t="s">
        <v>32</v>
      </c>
      <c r="L85" t="s">
        <v>45</v>
      </c>
      <c r="N85" t="str">
        <f t="shared" si="5"/>
        <v>0.088 (0.006)</v>
      </c>
      <c r="O85" s="1">
        <f t="shared" si="6"/>
        <v>14.135</v>
      </c>
      <c r="P85" s="2" t="str">
        <f t="shared" si="7"/>
        <v>&lt;0.001</v>
      </c>
      <c r="Q85" s="2">
        <f t="shared" si="10"/>
        <v>8.9999999999999993E-3</v>
      </c>
    </row>
    <row r="86" spans="1:17" x14ac:dyDescent="0.25">
      <c r="A86">
        <v>0.115994188499148</v>
      </c>
      <c r="B86">
        <v>6.2335982829539198E-3</v>
      </c>
      <c r="C86">
        <v>18.6079024078822</v>
      </c>
      <c r="D86" s="5">
        <v>4.3820816612629802E-74</v>
      </c>
      <c r="E86" t="s">
        <v>28</v>
      </c>
      <c r="F86">
        <v>4.0257083635109998E-2</v>
      </c>
      <c r="G86">
        <v>3.8699167992621797E-2</v>
      </c>
      <c r="H86">
        <v>1.10139259771759E-2</v>
      </c>
      <c r="I86">
        <v>1</v>
      </c>
      <c r="J86" t="s">
        <v>16</v>
      </c>
      <c r="K86" t="s">
        <v>32</v>
      </c>
      <c r="L86" t="s">
        <v>45</v>
      </c>
      <c r="N86" t="str">
        <f t="shared" si="5"/>
        <v>0.116 (0.006)</v>
      </c>
      <c r="O86" s="1">
        <f t="shared" si="6"/>
        <v>18.608000000000001</v>
      </c>
      <c r="P86" s="2" t="str">
        <f t="shared" si="7"/>
        <v>&lt;0.001</v>
      </c>
      <c r="Q86" s="2">
        <f t="shared" si="10"/>
        <v>3.9E-2</v>
      </c>
    </row>
    <row r="87" spans="1:17" x14ac:dyDescent="0.25">
      <c r="A87">
        <v>0.19969390155510999</v>
      </c>
      <c r="B87">
        <v>4.8473090944631302E-3</v>
      </c>
      <c r="C87">
        <v>41.196857403463703</v>
      </c>
      <c r="D87" s="5">
        <v>7.2253241046878099E-308</v>
      </c>
      <c r="E87" t="s">
        <v>29</v>
      </c>
      <c r="F87">
        <v>0.69641669577282195</v>
      </c>
      <c r="G87">
        <v>0.41052218921693701</v>
      </c>
      <c r="H87">
        <v>5.3985296444693201E-2</v>
      </c>
      <c r="I87">
        <v>1</v>
      </c>
      <c r="J87" t="s">
        <v>16</v>
      </c>
      <c r="K87" t="s">
        <v>32</v>
      </c>
      <c r="L87" t="s">
        <v>45</v>
      </c>
      <c r="N87" t="str">
        <f t="shared" si="5"/>
        <v>0.2 (0.005)</v>
      </c>
      <c r="O87" s="1">
        <f t="shared" si="6"/>
        <v>41.197000000000003</v>
      </c>
      <c r="P87" s="2" t="str">
        <f t="shared" si="7"/>
        <v>&lt;0.001</v>
      </c>
      <c r="Q87" s="2">
        <f t="shared" si="10"/>
        <v>0.41099999999999998</v>
      </c>
    </row>
    <row r="88" spans="1:17" x14ac:dyDescent="0.25">
      <c r="A88">
        <v>0.19862040098608999</v>
      </c>
      <c r="B88">
        <v>6.5706725495004196E-3</v>
      </c>
      <c r="C88">
        <v>30.2283213004111</v>
      </c>
      <c r="D88" s="5">
        <v>2.3063850060805401E-180</v>
      </c>
      <c r="E88" t="s">
        <v>30</v>
      </c>
      <c r="F88">
        <v>0.43213915290447003</v>
      </c>
      <c r="G88">
        <v>0.30174382987020798</v>
      </c>
      <c r="H88">
        <v>2.90653377162488E-2</v>
      </c>
      <c r="I88">
        <v>1</v>
      </c>
      <c r="J88" t="s">
        <v>16</v>
      </c>
      <c r="K88" t="s">
        <v>32</v>
      </c>
      <c r="L88" t="s">
        <v>45</v>
      </c>
      <c r="N88" t="str">
        <f t="shared" si="5"/>
        <v>0.199 (0.007)</v>
      </c>
      <c r="O88" s="1">
        <f t="shared" si="6"/>
        <v>30.228000000000002</v>
      </c>
      <c r="P88" s="2" t="str">
        <f t="shared" si="7"/>
        <v>&lt;0.001</v>
      </c>
      <c r="Q88" s="2">
        <f t="shared" si="10"/>
        <v>0.30199999999999999</v>
      </c>
    </row>
    <row r="89" spans="1:17" x14ac:dyDescent="0.25">
      <c r="A89">
        <v>0.16477562780573701</v>
      </c>
      <c r="B89">
        <v>6.0178300790536101E-3</v>
      </c>
      <c r="C89">
        <v>27.3812363661239</v>
      </c>
      <c r="D89" s="5">
        <v>5.1158160521135102E-151</v>
      </c>
      <c r="E89" t="s">
        <v>31</v>
      </c>
      <c r="F89">
        <v>0.47307756358221198</v>
      </c>
      <c r="G89">
        <v>0.32114912023490999</v>
      </c>
      <c r="H89">
        <v>2.3848080145929401E-2</v>
      </c>
      <c r="I89">
        <v>1</v>
      </c>
      <c r="J89" t="s">
        <v>16</v>
      </c>
      <c r="K89" t="s">
        <v>32</v>
      </c>
      <c r="L89" t="s">
        <v>45</v>
      </c>
      <c r="N89" t="str">
        <f t="shared" si="5"/>
        <v>0.165 (0.006)</v>
      </c>
      <c r="O89" s="1">
        <f t="shared" si="6"/>
        <v>27.381</v>
      </c>
      <c r="P89" s="2" t="str">
        <f t="shared" si="7"/>
        <v>&lt;0.001</v>
      </c>
      <c r="Q89" s="2">
        <f t="shared" si="10"/>
        <v>0.32100000000000001</v>
      </c>
    </row>
    <row r="90" spans="1:17" hidden="1" x14ac:dyDescent="0.25">
      <c r="D90" s="5"/>
      <c r="O90" s="1"/>
      <c r="P90" s="2"/>
      <c r="Q90" s="2"/>
    </row>
    <row r="91" spans="1:17" x14ac:dyDescent="0.25">
      <c r="A91">
        <v>2.1301718174521901E-2</v>
      </c>
      <c r="B91">
        <v>1.0367783741886599E-2</v>
      </c>
      <c r="C91">
        <v>2.0546067225979501</v>
      </c>
      <c r="D91">
        <v>3.9984111760071502E-2</v>
      </c>
      <c r="E91" t="s">
        <v>39</v>
      </c>
      <c r="F91">
        <v>6.6857708370403096E-4</v>
      </c>
      <c r="G91">
        <v>6.6813038703833103E-4</v>
      </c>
      <c r="H91">
        <v>1.3427795656539799E-4</v>
      </c>
      <c r="I91">
        <v>0.11937222307379899</v>
      </c>
      <c r="J91" t="s">
        <v>16</v>
      </c>
      <c r="K91" t="s">
        <v>32</v>
      </c>
      <c r="L91" t="s">
        <v>45</v>
      </c>
      <c r="N91" t="str">
        <f t="shared" si="5"/>
        <v>0.021 (0.01)</v>
      </c>
      <c r="O91" s="1">
        <f t="shared" si="6"/>
        <v>2.0550000000000002</v>
      </c>
      <c r="P91" s="2">
        <f t="shared" si="7"/>
        <v>0.04</v>
      </c>
      <c r="Q91" s="2" t="str">
        <f t="shared" ref="Q91:Q96" si="11">IF(G91&lt;0.001,"&lt;0.001",ROUND(G91,3))</f>
        <v>&lt;0.001</v>
      </c>
    </row>
    <row r="92" spans="1:17" x14ac:dyDescent="0.25">
      <c r="A92">
        <v>-2.21105540272672E-3</v>
      </c>
      <c r="B92">
        <v>8.8144963479263698E-3</v>
      </c>
      <c r="C92">
        <v>-0.25084307888412399</v>
      </c>
      <c r="D92">
        <v>0.80194877128322695</v>
      </c>
      <c r="E92" t="s">
        <v>40</v>
      </c>
      <c r="F92">
        <v>1.9636536195827099E-4</v>
      </c>
      <c r="G92">
        <v>1.9632681017313E-4</v>
      </c>
      <c r="H92" s="5">
        <v>2.0014814043900499E-6</v>
      </c>
      <c r="I92">
        <v>6.7196305829021294E-2</v>
      </c>
      <c r="J92" t="s">
        <v>16</v>
      </c>
      <c r="K92" t="s">
        <v>32</v>
      </c>
      <c r="L92" t="s">
        <v>45</v>
      </c>
      <c r="N92" t="str">
        <f t="shared" si="5"/>
        <v>-0.002 (0.009)</v>
      </c>
      <c r="O92" s="1">
        <f t="shared" si="6"/>
        <v>-0.251</v>
      </c>
      <c r="P92" s="2">
        <f t="shared" si="7"/>
        <v>0.80200000000000005</v>
      </c>
      <c r="Q92" s="2" t="str">
        <f t="shared" si="11"/>
        <v>&lt;0.001</v>
      </c>
    </row>
    <row r="93" spans="1:17" x14ac:dyDescent="0.25">
      <c r="A93">
        <v>-1.2364853923388E-2</v>
      </c>
      <c r="B93">
        <v>8.8144963479263507E-3</v>
      </c>
      <c r="C93">
        <v>-1.4027862098209301</v>
      </c>
      <c r="D93">
        <v>0.16076094176921099</v>
      </c>
      <c r="E93" t="s">
        <v>41</v>
      </c>
      <c r="F93">
        <v>1.2403531734696601E-3</v>
      </c>
      <c r="G93">
        <v>1.2388166033643301E-3</v>
      </c>
      <c r="H93" s="5">
        <v>6.2593651816600398E-5</v>
      </c>
      <c r="I93">
        <v>0.20055090191712099</v>
      </c>
      <c r="J93" t="s">
        <v>16</v>
      </c>
      <c r="K93" t="s">
        <v>32</v>
      </c>
      <c r="L93" t="s">
        <v>45</v>
      </c>
      <c r="N93" t="str">
        <f t="shared" si="5"/>
        <v>-0.012 (0.009)</v>
      </c>
      <c r="O93" s="1">
        <f t="shared" si="6"/>
        <v>-1.403</v>
      </c>
      <c r="P93" s="2">
        <f t="shared" si="7"/>
        <v>0.161</v>
      </c>
      <c r="Q93" s="2">
        <f t="shared" si="11"/>
        <v>1E-3</v>
      </c>
    </row>
    <row r="94" spans="1:17" x14ac:dyDescent="0.25">
      <c r="A94">
        <v>1.9856105701919001E-2</v>
      </c>
      <c r="B94">
        <v>6.8376942302851504E-3</v>
      </c>
      <c r="C94">
        <v>2.9039183434049201</v>
      </c>
      <c r="D94">
        <v>3.7061327788234701E-3</v>
      </c>
      <c r="E94" t="s">
        <v>42</v>
      </c>
      <c r="F94">
        <v>1.3175856358975701E-3</v>
      </c>
      <c r="G94">
        <v>1.3158518883505099E-3</v>
      </c>
      <c r="H94">
        <v>2.68235413241946E-4</v>
      </c>
      <c r="I94">
        <v>0.21274815157468999</v>
      </c>
      <c r="J94" t="s">
        <v>16</v>
      </c>
      <c r="K94" t="s">
        <v>32</v>
      </c>
      <c r="L94" t="s">
        <v>45</v>
      </c>
      <c r="N94" t="str">
        <f t="shared" si="5"/>
        <v>0.02 (0.007)</v>
      </c>
      <c r="O94" s="1">
        <f t="shared" si="6"/>
        <v>2.9039999999999999</v>
      </c>
      <c r="P94" s="2">
        <f t="shared" si="7"/>
        <v>4.0000000000000001E-3</v>
      </c>
      <c r="Q94" s="2">
        <f t="shared" si="11"/>
        <v>1E-3</v>
      </c>
    </row>
    <row r="95" spans="1:17" x14ac:dyDescent="0.25">
      <c r="A95">
        <v>1.80797638361773E-2</v>
      </c>
      <c r="B95">
        <v>9.2824289175679996E-3</v>
      </c>
      <c r="C95">
        <v>1.94774061797116</v>
      </c>
      <c r="D95">
        <v>5.1518333313300697E-2</v>
      </c>
      <c r="E95" t="s">
        <v>43</v>
      </c>
      <c r="F95">
        <v>6.4308156486754899E-4</v>
      </c>
      <c r="G95">
        <v>6.4266827674644802E-4</v>
      </c>
      <c r="H95">
        <v>1.2067284620254099E-4</v>
      </c>
      <c r="I95">
        <v>0.11618287025188501</v>
      </c>
      <c r="J95" t="s">
        <v>16</v>
      </c>
      <c r="K95" t="s">
        <v>32</v>
      </c>
      <c r="L95" t="s">
        <v>45</v>
      </c>
      <c r="N95" t="str">
        <f t="shared" si="5"/>
        <v>0.018 (0.009)</v>
      </c>
      <c r="O95" s="1">
        <f t="shared" si="6"/>
        <v>1.948</v>
      </c>
      <c r="P95" s="2">
        <f t="shared" si="7"/>
        <v>5.1999999999999998E-2</v>
      </c>
      <c r="Q95" s="2" t="str">
        <f t="shared" si="11"/>
        <v>&lt;0.001</v>
      </c>
    </row>
    <row r="96" spans="1:17" x14ac:dyDescent="0.25">
      <c r="A96">
        <v>3.4573091166259097E-2</v>
      </c>
      <c r="B96">
        <v>8.5044143147427302E-3</v>
      </c>
      <c r="C96">
        <v>4.0653112473983404</v>
      </c>
      <c r="D96" s="5">
        <v>4.8923353351268403E-5</v>
      </c>
      <c r="E96" t="s">
        <v>44</v>
      </c>
      <c r="F96">
        <v>4.27711064653817E-3</v>
      </c>
      <c r="G96">
        <v>4.2588948818963199E-3</v>
      </c>
      <c r="H96">
        <v>5.25696296093225E-4</v>
      </c>
      <c r="I96">
        <v>0.70460427142571702</v>
      </c>
      <c r="J96" t="s">
        <v>16</v>
      </c>
      <c r="K96" t="s">
        <v>32</v>
      </c>
      <c r="L96" t="s">
        <v>45</v>
      </c>
      <c r="N96" t="str">
        <f t="shared" si="5"/>
        <v>0.035 (0.009)</v>
      </c>
      <c r="O96" s="1">
        <f t="shared" si="6"/>
        <v>4.0650000000000004</v>
      </c>
      <c r="P96" s="2" t="str">
        <f t="shared" si="7"/>
        <v>&lt;0.001</v>
      </c>
      <c r="Q96" s="2">
        <f t="shared" si="11"/>
        <v>4.0000000000000001E-3</v>
      </c>
    </row>
    <row r="97" spans="1:17" hidden="1" x14ac:dyDescent="0.25">
      <c r="A97">
        <v>-6.8095563547329402E-2</v>
      </c>
      <c r="B97">
        <v>1.0045607645546401E-2</v>
      </c>
      <c r="C97">
        <v>-6.77864057108766</v>
      </c>
      <c r="D97" s="5">
        <v>1.3309195295276201E-11</v>
      </c>
      <c r="E97" t="s">
        <v>13</v>
      </c>
      <c r="F97" t="s">
        <v>14</v>
      </c>
      <c r="G97" t="s">
        <v>14</v>
      </c>
      <c r="H97" t="s">
        <v>14</v>
      </c>
      <c r="I97" t="s">
        <v>15</v>
      </c>
      <c r="J97" t="s">
        <v>46</v>
      </c>
      <c r="K97" t="s">
        <v>17</v>
      </c>
      <c r="N97" t="str">
        <f t="shared" si="5"/>
        <v>-0.068 (0.01)</v>
      </c>
      <c r="O97" s="1">
        <f t="shared" si="6"/>
        <v>-6.7789999999999999</v>
      </c>
      <c r="P97" s="2" t="str">
        <f t="shared" si="7"/>
        <v>&lt;0.001</v>
      </c>
      <c r="Q97" s="2" t="e">
        <f t="shared" si="8"/>
        <v>#VALUE!</v>
      </c>
    </row>
    <row r="98" spans="1:17" hidden="1" x14ac:dyDescent="0.25">
      <c r="A98" s="5">
        <v>8.9811936511395395E-5</v>
      </c>
      <c r="B98" s="5">
        <v>8.0043981408782101E-6</v>
      </c>
      <c r="C98">
        <v>11.220323493496499</v>
      </c>
      <c r="D98" s="5">
        <v>6.3427093511477502E-29</v>
      </c>
      <c r="E98" t="s">
        <v>18</v>
      </c>
      <c r="F98">
        <v>0.24479612098610101</v>
      </c>
      <c r="G98">
        <v>0.19665559432509999</v>
      </c>
      <c r="H98">
        <v>9.7286253699112608E-3</v>
      </c>
      <c r="I98">
        <v>1</v>
      </c>
      <c r="J98" t="s">
        <v>46</v>
      </c>
      <c r="K98" t="s">
        <v>17</v>
      </c>
      <c r="N98" t="str">
        <f t="shared" si="5"/>
        <v>0 (&lt;0.001)</v>
      </c>
      <c r="O98" s="1">
        <f t="shared" si="6"/>
        <v>11.22</v>
      </c>
      <c r="P98" s="2" t="str">
        <f t="shared" si="7"/>
        <v>&lt;0.001</v>
      </c>
      <c r="Q98" s="2">
        <f t="shared" si="8"/>
        <v>0.245</v>
      </c>
    </row>
    <row r="99" spans="1:17" hidden="1" x14ac:dyDescent="0.25">
      <c r="A99">
        <v>0.14058206501071299</v>
      </c>
      <c r="B99">
        <v>2.5352592954192E-2</v>
      </c>
      <c r="C99">
        <v>5.5450764055858697</v>
      </c>
      <c r="D99" s="5">
        <v>3.06554595094088E-8</v>
      </c>
      <c r="E99" t="s">
        <v>19</v>
      </c>
      <c r="F99">
        <v>0.84968573815070703</v>
      </c>
      <c r="G99">
        <v>0.45936762155078997</v>
      </c>
      <c r="H99">
        <v>2.37605118890494E-3</v>
      </c>
      <c r="I99">
        <v>1</v>
      </c>
      <c r="J99" t="s">
        <v>46</v>
      </c>
      <c r="K99" t="s">
        <v>17</v>
      </c>
      <c r="N99" t="str">
        <f t="shared" si="5"/>
        <v>0.141 (0.025)</v>
      </c>
      <c r="O99" s="1">
        <f t="shared" si="6"/>
        <v>5.5449999999999999</v>
      </c>
      <c r="P99" s="2" t="str">
        <f t="shared" si="7"/>
        <v>&lt;0.001</v>
      </c>
      <c r="Q99" s="2">
        <f t="shared" si="8"/>
        <v>0.85</v>
      </c>
    </row>
    <row r="100" spans="1:17" hidden="1" x14ac:dyDescent="0.25">
      <c r="A100">
        <v>-3.5574828943547201E-2</v>
      </c>
      <c r="B100">
        <v>4.35067499589974E-3</v>
      </c>
      <c r="C100">
        <v>-8.1768527819417507</v>
      </c>
      <c r="D100" s="5">
        <v>3.5346362546289699E-16</v>
      </c>
      <c r="E100" t="s">
        <v>20</v>
      </c>
      <c r="F100">
        <v>8.8774543416160201E-2</v>
      </c>
      <c r="G100">
        <v>8.15362041232333E-2</v>
      </c>
      <c r="H100">
        <v>5.1666980417105499E-3</v>
      </c>
      <c r="I100">
        <v>1</v>
      </c>
      <c r="J100" t="s">
        <v>46</v>
      </c>
      <c r="K100" t="s">
        <v>17</v>
      </c>
      <c r="N100" t="str">
        <f t="shared" si="5"/>
        <v>-0.036 (0.004)</v>
      </c>
      <c r="O100" s="1">
        <f t="shared" si="6"/>
        <v>-8.1769999999999996</v>
      </c>
      <c r="P100" s="2" t="str">
        <f t="shared" si="7"/>
        <v>&lt;0.001</v>
      </c>
      <c r="Q100" s="2">
        <f t="shared" si="8"/>
        <v>8.8999999999999996E-2</v>
      </c>
    </row>
    <row r="101" spans="1:17" hidden="1" x14ac:dyDescent="0.25">
      <c r="A101">
        <v>0.126510664363294</v>
      </c>
      <c r="B101">
        <v>2.1228199041685901E-2</v>
      </c>
      <c r="C101">
        <v>5.95955710208219</v>
      </c>
      <c r="D101" s="5">
        <v>2.6751647310662502E-9</v>
      </c>
      <c r="E101" t="s">
        <v>21</v>
      </c>
      <c r="F101">
        <v>6.0085130862761503E-3</v>
      </c>
      <c r="G101">
        <v>5.9726264819002098E-3</v>
      </c>
      <c r="H101">
        <v>2.7445344980198101E-3</v>
      </c>
      <c r="I101">
        <v>0.99937487321013196</v>
      </c>
      <c r="J101" t="s">
        <v>46</v>
      </c>
      <c r="K101" t="s">
        <v>17</v>
      </c>
      <c r="N101" t="str">
        <f t="shared" si="5"/>
        <v>0.127 (0.021)</v>
      </c>
      <c r="O101" s="1">
        <f t="shared" si="6"/>
        <v>5.96</v>
      </c>
      <c r="P101" s="2" t="str">
        <f t="shared" si="7"/>
        <v>&lt;0.001</v>
      </c>
      <c r="Q101" s="2">
        <f t="shared" si="8"/>
        <v>6.0000000000000001E-3</v>
      </c>
    </row>
    <row r="102" spans="1:17" hidden="1" x14ac:dyDescent="0.25">
      <c r="A102">
        <v>-7.1360571927991404E-2</v>
      </c>
      <c r="B102">
        <v>1.00551797529548E-2</v>
      </c>
      <c r="C102">
        <v>-7.0968966921771397</v>
      </c>
      <c r="D102" s="5">
        <v>1.4255715305812899E-12</v>
      </c>
      <c r="E102" t="s">
        <v>13</v>
      </c>
      <c r="F102" t="s">
        <v>14</v>
      </c>
      <c r="G102" t="s">
        <v>14</v>
      </c>
      <c r="H102" t="s">
        <v>14</v>
      </c>
      <c r="I102" t="s">
        <v>15</v>
      </c>
      <c r="J102" t="s">
        <v>46</v>
      </c>
      <c r="K102" t="s">
        <v>22</v>
      </c>
      <c r="N102" t="str">
        <f t="shared" si="5"/>
        <v>-0.071 (0.01)</v>
      </c>
      <c r="O102" s="1">
        <f t="shared" si="6"/>
        <v>-7.0970000000000004</v>
      </c>
      <c r="P102" s="2" t="str">
        <f t="shared" si="7"/>
        <v>&lt;0.001</v>
      </c>
      <c r="Q102" s="2" t="e">
        <f t="shared" si="8"/>
        <v>#VALUE!</v>
      </c>
    </row>
    <row r="103" spans="1:17" hidden="1" x14ac:dyDescent="0.25">
      <c r="A103" s="5">
        <v>8.9811936511394405E-5</v>
      </c>
      <c r="B103" s="5">
        <v>7.8444346059029997E-6</v>
      </c>
      <c r="C103">
        <v>11.4491280791365</v>
      </c>
      <c r="D103" s="5">
        <v>4.9156125995846198E-30</v>
      </c>
      <c r="E103" t="s">
        <v>18</v>
      </c>
      <c r="F103">
        <v>0.25496793824412201</v>
      </c>
      <c r="G103">
        <v>0.203166894128673</v>
      </c>
      <c r="H103">
        <v>9.7286253699110405E-3</v>
      </c>
      <c r="I103">
        <v>1</v>
      </c>
      <c r="J103" t="s">
        <v>46</v>
      </c>
      <c r="K103" t="s">
        <v>22</v>
      </c>
      <c r="N103" t="str">
        <f t="shared" si="5"/>
        <v>0 (&lt;0.001)</v>
      </c>
      <c r="O103" s="1">
        <f t="shared" si="6"/>
        <v>11.449</v>
      </c>
      <c r="P103" s="2" t="str">
        <f t="shared" si="7"/>
        <v>&lt;0.001</v>
      </c>
      <c r="Q103" s="2">
        <f t="shared" si="8"/>
        <v>0.255</v>
      </c>
    </row>
    <row r="104" spans="1:17" hidden="1" x14ac:dyDescent="0.25">
      <c r="A104">
        <v>0.14058206501071599</v>
      </c>
      <c r="B104">
        <v>2.48459351994973E-2</v>
      </c>
      <c r="C104">
        <v>5.6581514795852996</v>
      </c>
      <c r="D104" s="5">
        <v>1.6019504794827998E-8</v>
      </c>
      <c r="E104" t="s">
        <v>19</v>
      </c>
      <c r="F104">
        <v>0.88499204946152399</v>
      </c>
      <c r="G104">
        <v>0.46949378365512701</v>
      </c>
      <c r="H104">
        <v>2.37605118890494E-3</v>
      </c>
      <c r="I104">
        <v>1</v>
      </c>
      <c r="J104" t="s">
        <v>46</v>
      </c>
      <c r="K104" t="s">
        <v>22</v>
      </c>
      <c r="N104" t="str">
        <f t="shared" si="5"/>
        <v>0.141 (0.025)</v>
      </c>
      <c r="O104" s="1">
        <f t="shared" si="6"/>
        <v>5.6580000000000004</v>
      </c>
      <c r="P104" s="2" t="str">
        <f t="shared" si="7"/>
        <v>&lt;0.001</v>
      </c>
      <c r="Q104" s="2">
        <f t="shared" si="8"/>
        <v>0.88500000000000001</v>
      </c>
    </row>
    <row r="105" spans="1:17" hidden="1" x14ac:dyDescent="0.25">
      <c r="A105">
        <v>-3.5574828943546598E-2</v>
      </c>
      <c r="B105">
        <v>4.2637291269382498E-3</v>
      </c>
      <c r="C105">
        <v>-8.3435949809251895</v>
      </c>
      <c r="D105" s="5">
        <v>8.8840057280140997E-17</v>
      </c>
      <c r="E105" t="s">
        <v>20</v>
      </c>
      <c r="F105">
        <v>9.2463320955428099E-2</v>
      </c>
      <c r="G105">
        <v>8.4637460298953707E-2</v>
      </c>
      <c r="H105">
        <v>5.1666980417103296E-3</v>
      </c>
      <c r="I105">
        <v>1</v>
      </c>
      <c r="J105" t="s">
        <v>46</v>
      </c>
      <c r="K105" t="s">
        <v>22</v>
      </c>
      <c r="N105" t="str">
        <f t="shared" si="5"/>
        <v>-0.036 (0.004)</v>
      </c>
      <c r="O105" s="1">
        <f t="shared" si="6"/>
        <v>-8.3439999999999994</v>
      </c>
      <c r="P105" s="2" t="str">
        <f t="shared" si="7"/>
        <v>&lt;0.001</v>
      </c>
      <c r="Q105" s="2">
        <f t="shared" si="8"/>
        <v>9.1999999999999998E-2</v>
      </c>
    </row>
    <row r="106" spans="1:17" hidden="1" x14ac:dyDescent="0.25">
      <c r="A106">
        <v>0.126510664363291</v>
      </c>
      <c r="B106">
        <v>2.0803965051809401E-2</v>
      </c>
      <c r="C106">
        <v>6.0810842571708603</v>
      </c>
      <c r="D106" s="5">
        <v>1.26842956357858E-9</v>
      </c>
      <c r="E106" t="s">
        <v>21</v>
      </c>
      <c r="F106">
        <v>6.2581800207840701E-3</v>
      </c>
      <c r="G106">
        <v>6.2192587797445797E-3</v>
      </c>
      <c r="H106">
        <v>2.7445344980195898E-3</v>
      </c>
      <c r="I106">
        <v>0.99892961009477299</v>
      </c>
      <c r="J106" t="s">
        <v>46</v>
      </c>
      <c r="K106" t="s">
        <v>22</v>
      </c>
      <c r="N106" t="str">
        <f t="shared" si="5"/>
        <v>0.127 (0.021)</v>
      </c>
      <c r="O106" s="1">
        <f t="shared" si="6"/>
        <v>6.0810000000000004</v>
      </c>
      <c r="P106" s="2" t="str">
        <f t="shared" si="7"/>
        <v>&lt;0.001</v>
      </c>
      <c r="Q106" s="2">
        <f t="shared" si="8"/>
        <v>6.0000000000000001E-3</v>
      </c>
    </row>
    <row r="107" spans="1:17" hidden="1" x14ac:dyDescent="0.25">
      <c r="A107">
        <v>-2.2720721659229101E-2</v>
      </c>
      <c r="B107">
        <v>3.5435303731352601E-3</v>
      </c>
      <c r="C107">
        <v>-6.4118885029130404</v>
      </c>
      <c r="D107" s="5">
        <v>1.5486195721099799E-10</v>
      </c>
      <c r="E107" t="s">
        <v>23</v>
      </c>
      <c r="F107">
        <v>2.73026492686647E-2</v>
      </c>
      <c r="G107">
        <v>2.6577026047875402E-2</v>
      </c>
      <c r="H107">
        <v>3.0512555042698799E-3</v>
      </c>
      <c r="I107">
        <v>1</v>
      </c>
      <c r="J107" t="s">
        <v>46</v>
      </c>
      <c r="K107" t="s">
        <v>22</v>
      </c>
      <c r="N107" t="str">
        <f t="shared" si="5"/>
        <v>-0.023 (0.004)</v>
      </c>
      <c r="O107" s="1">
        <f t="shared" si="6"/>
        <v>-6.4119999999999999</v>
      </c>
      <c r="P107" s="2" t="str">
        <f t="shared" si="7"/>
        <v>&lt;0.001</v>
      </c>
      <c r="Q107" s="2">
        <f t="shared" si="8"/>
        <v>2.7E-2</v>
      </c>
    </row>
    <row r="108" spans="1:17" hidden="1" x14ac:dyDescent="0.25">
      <c r="A108">
        <v>3.2515746801217701E-2</v>
      </c>
      <c r="B108">
        <v>3.5435303731352402E-3</v>
      </c>
      <c r="C108">
        <v>9.1760880752514709</v>
      </c>
      <c r="D108" s="5">
        <v>6.0595898675589701E-20</v>
      </c>
      <c r="E108" t="s">
        <v>24</v>
      </c>
      <c r="F108">
        <v>1.42495502394267E-2</v>
      </c>
      <c r="G108">
        <v>1.4049353274115699E-2</v>
      </c>
      <c r="H108">
        <v>6.2491622298316302E-3</v>
      </c>
      <c r="I108">
        <v>0.99999999929248096</v>
      </c>
      <c r="J108" t="s">
        <v>46</v>
      </c>
      <c r="K108" t="s">
        <v>22</v>
      </c>
      <c r="N108" t="str">
        <f t="shared" si="5"/>
        <v>0.033 (0.004)</v>
      </c>
      <c r="O108" s="1">
        <f t="shared" si="6"/>
        <v>9.1760000000000002</v>
      </c>
      <c r="P108" s="2" t="str">
        <f t="shared" si="7"/>
        <v>&lt;0.001</v>
      </c>
      <c r="Q108" s="2">
        <f t="shared" si="8"/>
        <v>1.4E-2</v>
      </c>
    </row>
    <row r="109" spans="1:17" hidden="1" x14ac:dyDescent="0.25">
      <c r="A109">
        <v>-0.11165942350795199</v>
      </c>
      <c r="B109">
        <v>6.1565317619045202E-3</v>
      </c>
      <c r="C109">
        <v>-18.1367412410474</v>
      </c>
      <c r="D109" s="5">
        <v>1.39412314783781E-71</v>
      </c>
      <c r="E109" t="s">
        <v>13</v>
      </c>
      <c r="F109" t="s">
        <v>14</v>
      </c>
      <c r="G109" t="s">
        <v>14</v>
      </c>
      <c r="H109" t="s">
        <v>14</v>
      </c>
      <c r="I109" t="s">
        <v>15</v>
      </c>
      <c r="J109" t="s">
        <v>46</v>
      </c>
      <c r="K109" t="s">
        <v>25</v>
      </c>
      <c r="N109" t="str">
        <f t="shared" si="5"/>
        <v>-0.112 (0.006)</v>
      </c>
      <c r="O109" s="1">
        <f t="shared" si="6"/>
        <v>-18.137</v>
      </c>
      <c r="P109" s="2" t="str">
        <f t="shared" si="7"/>
        <v>&lt;0.001</v>
      </c>
      <c r="Q109" s="2" t="e">
        <f t="shared" si="8"/>
        <v>#VALUE!</v>
      </c>
    </row>
    <row r="110" spans="1:17" hidden="1" x14ac:dyDescent="0.25">
      <c r="A110" s="5">
        <v>6.9299982571983305E-5</v>
      </c>
      <c r="B110" s="5">
        <v>4.7812629050373396E-6</v>
      </c>
      <c r="C110">
        <v>14.494074881130601</v>
      </c>
      <c r="D110" s="5">
        <v>8.3436065072192701E-47</v>
      </c>
      <c r="E110" t="s">
        <v>18</v>
      </c>
      <c r="F110">
        <v>0.69167125544268004</v>
      </c>
      <c r="G110">
        <v>0.40886859856330798</v>
      </c>
      <c r="H110">
        <v>5.7532693267208198E-3</v>
      </c>
      <c r="I110">
        <v>1</v>
      </c>
      <c r="J110" t="s">
        <v>46</v>
      </c>
      <c r="K110" t="s">
        <v>25</v>
      </c>
      <c r="N110" t="str">
        <f t="shared" si="5"/>
        <v>0 (&lt;0.001)</v>
      </c>
      <c r="O110" s="1">
        <f t="shared" si="6"/>
        <v>14.494</v>
      </c>
      <c r="P110" s="2" t="str">
        <f t="shared" si="7"/>
        <v>&lt;0.001</v>
      </c>
      <c r="Q110" s="2">
        <f t="shared" si="8"/>
        <v>0.69199999999999995</v>
      </c>
    </row>
    <row r="111" spans="1:17" hidden="1" x14ac:dyDescent="0.25">
      <c r="A111">
        <v>0.19359223358948599</v>
      </c>
      <c r="B111">
        <v>1.5125552526893399E-2</v>
      </c>
      <c r="C111">
        <v>12.799018961143901</v>
      </c>
      <c r="D111" s="5">
        <v>5.1376263255707003E-37</v>
      </c>
      <c r="E111" t="s">
        <v>19</v>
      </c>
      <c r="F111">
        <v>2.4007864130813101</v>
      </c>
      <c r="G111">
        <v>0.70595036602315098</v>
      </c>
      <c r="H111">
        <v>4.4862871593612796E-3</v>
      </c>
      <c r="I111">
        <v>1</v>
      </c>
      <c r="J111" t="s">
        <v>46</v>
      </c>
      <c r="K111" t="s">
        <v>25</v>
      </c>
      <c r="N111" t="str">
        <f t="shared" si="5"/>
        <v>0.194 (0.015)</v>
      </c>
      <c r="O111" s="1">
        <f t="shared" si="6"/>
        <v>12.798999999999999</v>
      </c>
      <c r="P111" s="2" t="str">
        <f t="shared" si="7"/>
        <v>&lt;0.001</v>
      </c>
      <c r="Q111" s="2">
        <f t="shared" si="8"/>
        <v>2.4009999999999998</v>
      </c>
    </row>
    <row r="112" spans="1:17" hidden="1" x14ac:dyDescent="0.25">
      <c r="A112">
        <v>-2.39187449585937E-2</v>
      </c>
      <c r="B112">
        <v>2.5983471528487402E-3</v>
      </c>
      <c r="C112">
        <v>-9.2053692411231403</v>
      </c>
      <c r="D112" s="5">
        <v>4.6346470963394399E-20</v>
      </c>
      <c r="E112" t="s">
        <v>20</v>
      </c>
      <c r="F112">
        <v>0.250832405548993</v>
      </c>
      <c r="G112">
        <v>0.20053238502315801</v>
      </c>
      <c r="H112">
        <v>2.32068465418445E-3</v>
      </c>
      <c r="I112">
        <v>1</v>
      </c>
      <c r="J112" t="s">
        <v>46</v>
      </c>
      <c r="K112" t="s">
        <v>25</v>
      </c>
      <c r="N112" t="str">
        <f t="shared" si="5"/>
        <v>-0.024 (0.003)</v>
      </c>
      <c r="O112" s="1">
        <f t="shared" si="6"/>
        <v>-9.2050000000000001</v>
      </c>
      <c r="P112" s="2" t="str">
        <f t="shared" si="7"/>
        <v>&lt;0.001</v>
      </c>
      <c r="Q112" s="2">
        <f t="shared" si="8"/>
        <v>0.251</v>
      </c>
    </row>
    <row r="113" spans="1:17" hidden="1" x14ac:dyDescent="0.25">
      <c r="A113">
        <v>7.3343573809262E-2</v>
      </c>
      <c r="B113">
        <v>1.26741674769276E-2</v>
      </c>
      <c r="C113">
        <v>5.7868553451560798</v>
      </c>
      <c r="D113" s="5">
        <v>7.5401505514300704E-9</v>
      </c>
      <c r="E113" t="s">
        <v>21</v>
      </c>
      <c r="F113">
        <v>1.6977049199093999E-2</v>
      </c>
      <c r="G113">
        <v>1.6693640443964802E-2</v>
      </c>
      <c r="H113">
        <v>9.1710477872408702E-4</v>
      </c>
      <c r="I113">
        <v>0.99999999975893406</v>
      </c>
      <c r="J113" t="s">
        <v>46</v>
      </c>
      <c r="K113" t="s">
        <v>25</v>
      </c>
      <c r="N113" t="str">
        <f t="shared" si="5"/>
        <v>0.073 (0.013)</v>
      </c>
      <c r="O113" s="1">
        <f t="shared" si="6"/>
        <v>5.7869999999999999</v>
      </c>
      <c r="P113" s="2" t="str">
        <f t="shared" si="7"/>
        <v>&lt;0.001</v>
      </c>
      <c r="Q113" s="2">
        <f t="shared" si="8"/>
        <v>1.7000000000000001E-2</v>
      </c>
    </row>
    <row r="114" spans="1:17" hidden="1" x14ac:dyDescent="0.25">
      <c r="A114">
        <v>-2.2720721659229601E-2</v>
      </c>
      <c r="B114">
        <v>2.1525323409853601E-3</v>
      </c>
      <c r="C114">
        <v>-10.5553450819832</v>
      </c>
      <c r="D114" s="5">
        <v>8.1405781271822202E-26</v>
      </c>
      <c r="E114" t="s">
        <v>23</v>
      </c>
      <c r="F114">
        <v>7.4066009344623193E-2</v>
      </c>
      <c r="G114">
        <v>6.8958526478104507E-2</v>
      </c>
      <c r="H114">
        <v>3.0512555042701002E-3</v>
      </c>
      <c r="I114">
        <v>1</v>
      </c>
      <c r="J114" t="s">
        <v>46</v>
      </c>
      <c r="K114" t="s">
        <v>25</v>
      </c>
      <c r="N114" t="str">
        <f t="shared" si="5"/>
        <v>-0.023 (0.002)</v>
      </c>
      <c r="O114" s="1">
        <f t="shared" si="6"/>
        <v>-10.555</v>
      </c>
      <c r="P114" s="2" t="str">
        <f t="shared" si="7"/>
        <v>&lt;0.001</v>
      </c>
      <c r="Q114" s="2">
        <f t="shared" si="8"/>
        <v>7.3999999999999996E-2</v>
      </c>
    </row>
    <row r="115" spans="1:17" hidden="1" x14ac:dyDescent="0.25">
      <c r="A115">
        <v>3.2515746801217299E-2</v>
      </c>
      <c r="B115">
        <v>2.1525323409853502E-3</v>
      </c>
      <c r="C115">
        <v>15.1058110403734</v>
      </c>
      <c r="D115" s="5">
        <v>1.29712977025049E-50</v>
      </c>
      <c r="E115" t="s">
        <v>24</v>
      </c>
      <c r="F115">
        <v>3.8655857561828197E-2</v>
      </c>
      <c r="G115">
        <v>3.7217194974060099E-2</v>
      </c>
      <c r="H115">
        <v>6.2491622298317404E-3</v>
      </c>
      <c r="I115">
        <v>1</v>
      </c>
      <c r="J115" t="s">
        <v>46</v>
      </c>
      <c r="K115" t="s">
        <v>25</v>
      </c>
      <c r="N115" t="str">
        <f t="shared" si="5"/>
        <v>0.033 (0.002)</v>
      </c>
      <c r="O115" s="1">
        <f t="shared" si="6"/>
        <v>15.106</v>
      </c>
      <c r="P115" s="2" t="str">
        <f t="shared" si="7"/>
        <v>&lt;0.001</v>
      </c>
      <c r="Q115" s="2">
        <f t="shared" si="8"/>
        <v>3.9E-2</v>
      </c>
    </row>
    <row r="116" spans="1:17" hidden="1" x14ac:dyDescent="0.25">
      <c r="A116">
        <v>3.9998575670907501E-3</v>
      </c>
      <c r="B116">
        <v>3.9772132817377896E-3</v>
      </c>
      <c r="C116">
        <v>1.00569350541419</v>
      </c>
      <c r="D116">
        <v>0.31460425038991102</v>
      </c>
      <c r="E116" t="s">
        <v>26</v>
      </c>
      <c r="F116">
        <v>4.1242941914544501E-2</v>
      </c>
      <c r="G116">
        <v>3.9609336355942701E-2</v>
      </c>
      <c r="H116" s="5">
        <v>2.7699057685848201E-5</v>
      </c>
      <c r="I116">
        <v>1</v>
      </c>
      <c r="J116" t="s">
        <v>46</v>
      </c>
      <c r="K116" t="s">
        <v>25</v>
      </c>
      <c r="N116" t="str">
        <f t="shared" si="5"/>
        <v>0.004 (0.004)</v>
      </c>
      <c r="O116" s="1">
        <f t="shared" si="6"/>
        <v>1.006</v>
      </c>
      <c r="P116" s="2">
        <f t="shared" si="7"/>
        <v>0.315</v>
      </c>
      <c r="Q116" s="2">
        <f t="shared" si="8"/>
        <v>4.1000000000000002E-2</v>
      </c>
    </row>
    <row r="117" spans="1:17" hidden="1" x14ac:dyDescent="0.25">
      <c r="A117">
        <v>9.14155680378997E-2</v>
      </c>
      <c r="B117">
        <v>3.7342001815605002E-3</v>
      </c>
      <c r="C117">
        <v>24.480628673660899</v>
      </c>
      <c r="D117" s="5">
        <v>3.8654743378687499E-126</v>
      </c>
      <c r="E117" t="s">
        <v>27</v>
      </c>
      <c r="F117">
        <v>9.3890360865362399E-3</v>
      </c>
      <c r="G117">
        <v>9.3017020701335398E-3</v>
      </c>
      <c r="H117">
        <v>1.6412654852044899E-2</v>
      </c>
      <c r="I117">
        <v>0.99992751763656895</v>
      </c>
      <c r="J117" t="s">
        <v>46</v>
      </c>
      <c r="K117" t="s">
        <v>25</v>
      </c>
      <c r="N117" t="str">
        <f t="shared" si="5"/>
        <v>0.091 (0.004)</v>
      </c>
      <c r="O117" s="1">
        <f t="shared" si="6"/>
        <v>24.481000000000002</v>
      </c>
      <c r="P117" s="2" t="str">
        <f t="shared" si="7"/>
        <v>&lt;0.001</v>
      </c>
      <c r="Q117" s="2">
        <f t="shared" si="8"/>
        <v>8.9999999999999993E-3</v>
      </c>
    </row>
    <row r="118" spans="1:17" hidden="1" x14ac:dyDescent="0.25">
      <c r="A118">
        <v>0.16576745123358</v>
      </c>
      <c r="B118">
        <v>3.7266919071707399E-3</v>
      </c>
      <c r="C118">
        <v>44.481125717588</v>
      </c>
      <c r="D118">
        <v>0</v>
      </c>
      <c r="E118" t="s">
        <v>28</v>
      </c>
      <c r="F118">
        <v>0.15053570363934099</v>
      </c>
      <c r="G118">
        <v>0.13083966291804</v>
      </c>
      <c r="H118">
        <v>5.4185769237513302E-2</v>
      </c>
      <c r="I118">
        <v>1</v>
      </c>
      <c r="J118" t="s">
        <v>46</v>
      </c>
      <c r="K118" t="s">
        <v>25</v>
      </c>
      <c r="N118" t="str">
        <f t="shared" si="5"/>
        <v>0.166 (0.004)</v>
      </c>
      <c r="O118" s="1">
        <f t="shared" si="6"/>
        <v>44.481000000000002</v>
      </c>
      <c r="P118" s="2" t="str">
        <f t="shared" si="7"/>
        <v>&lt;0.001</v>
      </c>
      <c r="Q118" s="2">
        <f t="shared" si="8"/>
        <v>0.151</v>
      </c>
    </row>
    <row r="119" spans="1:17" hidden="1" x14ac:dyDescent="0.25">
      <c r="A119">
        <v>0.210273443832871</v>
      </c>
      <c r="B119">
        <v>2.9068984699279301E-3</v>
      </c>
      <c r="C119">
        <v>72.336012422919097</v>
      </c>
      <c r="D119">
        <v>0</v>
      </c>
      <c r="E119" t="s">
        <v>29</v>
      </c>
      <c r="F119">
        <v>0.629952755663579</v>
      </c>
      <c r="G119">
        <v>0.38648528521743297</v>
      </c>
      <c r="H119">
        <v>0.14329889193467399</v>
      </c>
      <c r="I119">
        <v>1</v>
      </c>
      <c r="J119" t="s">
        <v>46</v>
      </c>
      <c r="K119" t="s">
        <v>25</v>
      </c>
      <c r="N119" t="str">
        <f t="shared" si="5"/>
        <v>0.21 (0.003)</v>
      </c>
      <c r="O119" s="1">
        <f t="shared" si="6"/>
        <v>72.335999999999999</v>
      </c>
      <c r="P119" s="2" t="str">
        <f t="shared" si="7"/>
        <v>&lt;0.001</v>
      </c>
      <c r="Q119" s="2">
        <f t="shared" si="8"/>
        <v>0.63</v>
      </c>
    </row>
    <row r="120" spans="1:17" hidden="1" x14ac:dyDescent="0.25">
      <c r="A120">
        <v>0.21267056951295599</v>
      </c>
      <c r="B120">
        <v>3.93619993008256E-3</v>
      </c>
      <c r="C120">
        <v>54.029412451235899</v>
      </c>
      <c r="D120">
        <v>0</v>
      </c>
      <c r="E120" t="s">
        <v>30</v>
      </c>
      <c r="F120">
        <v>0.41010034811573098</v>
      </c>
      <c r="G120">
        <v>0.29083061263245202</v>
      </c>
      <c r="H120">
        <v>7.9945531324927793E-2</v>
      </c>
      <c r="I120">
        <v>1</v>
      </c>
      <c r="J120" t="s">
        <v>46</v>
      </c>
      <c r="K120" t="s">
        <v>25</v>
      </c>
      <c r="N120" t="str">
        <f t="shared" si="5"/>
        <v>0.213 (0.004)</v>
      </c>
      <c r="O120" s="1">
        <f t="shared" si="6"/>
        <v>54.029000000000003</v>
      </c>
      <c r="P120" s="2" t="str">
        <f t="shared" si="7"/>
        <v>&lt;0.001</v>
      </c>
      <c r="Q120" s="2">
        <f t="shared" si="8"/>
        <v>0.41</v>
      </c>
    </row>
    <row r="121" spans="1:17" hidden="1" x14ac:dyDescent="0.25">
      <c r="A121">
        <v>0.190434441530862</v>
      </c>
      <c r="B121">
        <v>3.6094596712154198E-3</v>
      </c>
      <c r="C121">
        <v>52.759819717486003</v>
      </c>
      <c r="D121">
        <v>0</v>
      </c>
      <c r="E121" t="s">
        <v>31</v>
      </c>
      <c r="F121">
        <v>0.471556594379405</v>
      </c>
      <c r="G121">
        <v>0.32044747458610201</v>
      </c>
      <c r="H121">
        <v>7.6232525797949396E-2</v>
      </c>
      <c r="I121">
        <v>1</v>
      </c>
      <c r="J121" t="s">
        <v>46</v>
      </c>
      <c r="K121" t="s">
        <v>25</v>
      </c>
      <c r="N121" t="str">
        <f t="shared" si="5"/>
        <v>0.19 (0.004)</v>
      </c>
      <c r="O121" s="1">
        <f t="shared" si="6"/>
        <v>52.76</v>
      </c>
      <c r="P121" s="2" t="str">
        <f t="shared" si="7"/>
        <v>&lt;0.001</v>
      </c>
      <c r="Q121" s="2">
        <f t="shared" si="8"/>
        <v>0.47199999999999998</v>
      </c>
    </row>
    <row r="122" spans="1:17" x14ac:dyDescent="0.25">
      <c r="A122">
        <v>-0.119019696310193</v>
      </c>
      <c r="B122">
        <v>6.0838515749111399E-3</v>
      </c>
      <c r="C122">
        <v>-19.563214987198499</v>
      </c>
      <c r="D122" s="5">
        <v>1.27244474681411E-82</v>
      </c>
      <c r="E122" t="s">
        <v>13</v>
      </c>
      <c r="F122" t="s">
        <v>14</v>
      </c>
      <c r="G122" t="s">
        <v>14</v>
      </c>
      <c r="H122" t="s">
        <v>14</v>
      </c>
      <c r="I122" t="s">
        <v>15</v>
      </c>
      <c r="J122" t="s">
        <v>46</v>
      </c>
      <c r="K122" t="s">
        <v>32</v>
      </c>
      <c r="N122" t="str">
        <f t="shared" si="5"/>
        <v>-0.119 (0.006)</v>
      </c>
      <c r="O122" s="1">
        <f t="shared" si="6"/>
        <v>-19.562999999999999</v>
      </c>
      <c r="P122" s="2" t="str">
        <f t="shared" si="7"/>
        <v>&lt;0.001</v>
      </c>
      <c r="Q122" s="2" t="e">
        <f t="shared" si="8"/>
        <v>#VALUE!</v>
      </c>
    </row>
    <row r="123" spans="1:17" x14ac:dyDescent="0.25">
      <c r="A123" s="5">
        <v>6.9299982571980703E-5</v>
      </c>
      <c r="B123" s="5">
        <v>4.6601835399636198E-6</v>
      </c>
      <c r="C123">
        <v>14.8706551958084</v>
      </c>
      <c r="D123" s="5">
        <v>3.9430240307560202E-49</v>
      </c>
      <c r="E123" t="s">
        <v>18</v>
      </c>
      <c r="F123">
        <v>0.72956282157589902</v>
      </c>
      <c r="G123">
        <v>0.42181920915202997</v>
      </c>
      <c r="H123">
        <v>5.7532693267202699E-3</v>
      </c>
      <c r="I123">
        <v>1</v>
      </c>
      <c r="J123" t="s">
        <v>46</v>
      </c>
      <c r="K123" t="s">
        <v>32</v>
      </c>
      <c r="N123" t="str">
        <f t="shared" si="5"/>
        <v>0 (&lt;0.001)</v>
      </c>
      <c r="O123" s="1">
        <f t="shared" si="6"/>
        <v>14.871</v>
      </c>
      <c r="P123" s="2" t="str">
        <f t="shared" si="7"/>
        <v>&lt;0.001</v>
      </c>
      <c r="Q123" s="2">
        <f>IF(G123&lt;0.001,"&lt;0.001",ROUND(G123,3))</f>
        <v>0.42199999999999999</v>
      </c>
    </row>
    <row r="124" spans="1:17" x14ac:dyDescent="0.25">
      <c r="A124">
        <v>0.19359223358949501</v>
      </c>
      <c r="B124">
        <v>1.4742517263466299E-2</v>
      </c>
      <c r="C124">
        <v>13.131558887113499</v>
      </c>
      <c r="D124" s="5">
        <v>7.5953418701180495E-39</v>
      </c>
      <c r="E124" t="s">
        <v>19</v>
      </c>
      <c r="F124">
        <v>2.5323077918102599</v>
      </c>
      <c r="G124">
        <v>0.71689896267858499</v>
      </c>
      <c r="H124">
        <v>4.4862871593616101E-3</v>
      </c>
      <c r="I124">
        <v>1</v>
      </c>
      <c r="J124" t="s">
        <v>46</v>
      </c>
      <c r="K124" t="s">
        <v>32</v>
      </c>
      <c r="N124" t="str">
        <f t="shared" si="5"/>
        <v>0.194 (0.015)</v>
      </c>
      <c r="O124" s="1">
        <f t="shared" si="6"/>
        <v>13.132</v>
      </c>
      <c r="P124" s="2" t="str">
        <f t="shared" si="7"/>
        <v>&lt;0.001</v>
      </c>
      <c r="Q124" s="2">
        <f t="shared" ref="Q124:Q146" si="12">IF(G124&lt;0.001,"&lt;0.001",ROUND(G124,3))</f>
        <v>0.71699999999999997</v>
      </c>
    </row>
    <row r="125" spans="1:17" x14ac:dyDescent="0.25">
      <c r="A125">
        <v>-2.3918744958592201E-2</v>
      </c>
      <c r="B125">
        <v>2.53254733598936E-3</v>
      </c>
      <c r="C125">
        <v>-9.4445401350210805</v>
      </c>
      <c r="D125" s="5">
        <v>5.0240562266686397E-21</v>
      </c>
      <c r="E125" t="s">
        <v>20</v>
      </c>
      <c r="F125">
        <v>0.26457366284199901</v>
      </c>
      <c r="G125">
        <v>0.20921965292824199</v>
      </c>
      <c r="H125">
        <v>2.3206846541843399E-3</v>
      </c>
      <c r="I125">
        <v>1</v>
      </c>
      <c r="J125" t="s">
        <v>46</v>
      </c>
      <c r="K125" t="s">
        <v>32</v>
      </c>
      <c r="N125" t="str">
        <f t="shared" si="5"/>
        <v>-0.024 (0.003)</v>
      </c>
      <c r="O125" s="1">
        <f t="shared" si="6"/>
        <v>-9.4450000000000003</v>
      </c>
      <c r="P125" s="2" t="str">
        <f t="shared" si="7"/>
        <v>&lt;0.001</v>
      </c>
      <c r="Q125" s="2">
        <f t="shared" si="12"/>
        <v>0.20899999999999999</v>
      </c>
    </row>
    <row r="126" spans="1:17" x14ac:dyDescent="0.25">
      <c r="A126">
        <v>7.3343573809254506E-2</v>
      </c>
      <c r="B126">
        <v>1.23532104031538E-2</v>
      </c>
      <c r="C126">
        <v>5.9372075287028201</v>
      </c>
      <c r="D126" s="5">
        <v>3.0645423699451201E-9</v>
      </c>
      <c r="E126" t="s">
        <v>21</v>
      </c>
      <c r="F126">
        <v>1.79070964974491E-2</v>
      </c>
      <c r="G126">
        <v>1.7592073538996101E-2</v>
      </c>
      <c r="H126">
        <v>9.1710477872386498E-4</v>
      </c>
      <c r="I126">
        <v>0.999999993775462</v>
      </c>
      <c r="J126" t="s">
        <v>46</v>
      </c>
      <c r="K126" t="s">
        <v>32</v>
      </c>
      <c r="N126" t="str">
        <f t="shared" si="5"/>
        <v>0.073 (0.012)</v>
      </c>
      <c r="O126" s="1">
        <f t="shared" si="6"/>
        <v>5.9370000000000003</v>
      </c>
      <c r="P126" s="2" t="str">
        <f t="shared" si="7"/>
        <v>&lt;0.001</v>
      </c>
      <c r="Q126" s="2">
        <f t="shared" si="12"/>
        <v>1.7999999999999999E-2</v>
      </c>
    </row>
    <row r="127" spans="1:17" x14ac:dyDescent="0.25">
      <c r="A127">
        <v>-2.4831308709402302E-3</v>
      </c>
      <c r="B127">
        <v>2.72377109389658E-3</v>
      </c>
      <c r="C127">
        <v>-0.911651818504287</v>
      </c>
      <c r="D127">
        <v>0.36198933801820199</v>
      </c>
      <c r="E127" t="s">
        <v>23</v>
      </c>
      <c r="F127">
        <v>7.8123539665887198E-2</v>
      </c>
      <c r="G127">
        <v>7.2462511754541506E-2</v>
      </c>
      <c r="H127" s="5">
        <v>2.16228284454223E-5</v>
      </c>
      <c r="I127">
        <v>1</v>
      </c>
      <c r="J127" t="s">
        <v>46</v>
      </c>
      <c r="K127" t="s">
        <v>32</v>
      </c>
      <c r="N127" t="str">
        <f t="shared" si="5"/>
        <v>-0.002 (0.003)</v>
      </c>
      <c r="O127" s="1">
        <f t="shared" si="6"/>
        <v>-0.91200000000000003</v>
      </c>
      <c r="P127" s="2">
        <f t="shared" si="7"/>
        <v>0.36199999999999999</v>
      </c>
      <c r="Q127" s="2">
        <f t="shared" si="12"/>
        <v>7.1999999999999995E-2</v>
      </c>
    </row>
    <row r="128" spans="1:17" x14ac:dyDescent="0.25">
      <c r="A128">
        <v>3.4358974419658198E-2</v>
      </c>
      <c r="B128">
        <v>2.7237710938965401E-3</v>
      </c>
      <c r="C128">
        <v>12.6144867667662</v>
      </c>
      <c r="D128" s="5">
        <v>5.1165257027157798E-36</v>
      </c>
      <c r="E128" t="s">
        <v>24</v>
      </c>
      <c r="F128">
        <v>4.0773526861679101E-2</v>
      </c>
      <c r="G128">
        <v>3.9176175997314801E-2</v>
      </c>
      <c r="H128">
        <v>4.1399363917906697E-3</v>
      </c>
      <c r="I128">
        <v>1</v>
      </c>
      <c r="J128" t="s">
        <v>46</v>
      </c>
      <c r="K128" t="s">
        <v>32</v>
      </c>
      <c r="N128" t="str">
        <f t="shared" si="5"/>
        <v>0.034 (0.003)</v>
      </c>
      <c r="O128" s="1">
        <f t="shared" si="6"/>
        <v>12.614000000000001</v>
      </c>
      <c r="P128" s="2" t="str">
        <f t="shared" si="7"/>
        <v>&lt;0.001</v>
      </c>
      <c r="Q128" s="2">
        <f t="shared" si="12"/>
        <v>3.9E-2</v>
      </c>
    </row>
    <row r="129" spans="1:17" x14ac:dyDescent="0.25">
      <c r="A129">
        <v>-2.30050868492385E-3</v>
      </c>
      <c r="B129">
        <v>6.7123926547280402E-3</v>
      </c>
      <c r="C129">
        <v>-0.34272558285210503</v>
      </c>
      <c r="D129">
        <v>0.73181714271044596</v>
      </c>
      <c r="E129" t="s">
        <v>26</v>
      </c>
      <c r="F129">
        <v>4.3502338483053501E-2</v>
      </c>
      <c r="G129">
        <v>4.1688779103545799E-2</v>
      </c>
      <c r="H129" s="5">
        <v>3.05595915128798E-6</v>
      </c>
      <c r="I129">
        <v>1</v>
      </c>
      <c r="J129" t="s">
        <v>46</v>
      </c>
      <c r="K129" t="s">
        <v>32</v>
      </c>
      <c r="N129" t="str">
        <f t="shared" si="5"/>
        <v>-0.002 (0.007)</v>
      </c>
      <c r="O129" s="1">
        <f t="shared" si="6"/>
        <v>-0.34300000000000003</v>
      </c>
      <c r="P129" s="2">
        <f t="shared" si="7"/>
        <v>0.73199999999999998</v>
      </c>
      <c r="Q129" s="2">
        <f t="shared" si="12"/>
        <v>4.2000000000000003E-2</v>
      </c>
    </row>
    <row r="130" spans="1:17" x14ac:dyDescent="0.25">
      <c r="A130">
        <v>9.6328220518326596E-2</v>
      </c>
      <c r="B130">
        <v>6.2954093924104297E-3</v>
      </c>
      <c r="C130">
        <v>15.301343330341201</v>
      </c>
      <c r="D130" s="5">
        <v>7.3655985907084705E-52</v>
      </c>
      <c r="E130" t="s">
        <v>27</v>
      </c>
      <c r="F130">
        <v>9.9033921176719698E-3</v>
      </c>
      <c r="G130">
        <v>9.8062767141572794E-3</v>
      </c>
      <c r="H130">
        <v>6.0913508857144399E-3</v>
      </c>
      <c r="I130">
        <v>0.99952230520895802</v>
      </c>
      <c r="J130" t="s">
        <v>46</v>
      </c>
      <c r="K130" t="s">
        <v>32</v>
      </c>
      <c r="N130" t="str">
        <f t="shared" si="5"/>
        <v>0.096 (0.006)</v>
      </c>
      <c r="O130" s="1">
        <f t="shared" si="6"/>
        <v>15.301</v>
      </c>
      <c r="P130" s="2" t="str">
        <f t="shared" si="7"/>
        <v>&lt;0.001</v>
      </c>
      <c r="Q130" s="2">
        <f t="shared" si="12"/>
        <v>0.01</v>
      </c>
    </row>
    <row r="131" spans="1:17" x14ac:dyDescent="0.25">
      <c r="A131">
        <v>0.17724817684072799</v>
      </c>
      <c r="B131">
        <v>6.2911813086907603E-3</v>
      </c>
      <c r="C131">
        <v>28.174069088721701</v>
      </c>
      <c r="D131" s="5">
        <v>5.9838927805241202E-164</v>
      </c>
      <c r="E131" t="s">
        <v>28</v>
      </c>
      <c r="F131">
        <v>0.15878244445006001</v>
      </c>
      <c r="G131">
        <v>0.13702524163231999</v>
      </c>
      <c r="H131">
        <v>2.0651597304294399E-2</v>
      </c>
      <c r="I131">
        <v>1</v>
      </c>
      <c r="J131" t="s">
        <v>46</v>
      </c>
      <c r="K131" t="s">
        <v>32</v>
      </c>
      <c r="N131" t="str">
        <f t="shared" si="5"/>
        <v>0.177 (0.006)</v>
      </c>
      <c r="O131" s="1">
        <f t="shared" si="6"/>
        <v>28.173999999999999</v>
      </c>
      <c r="P131" s="2" t="str">
        <f t="shared" si="7"/>
        <v>&lt;0.001</v>
      </c>
      <c r="Q131" s="2">
        <f t="shared" si="12"/>
        <v>0.13700000000000001</v>
      </c>
    </row>
    <row r="132" spans="1:17" x14ac:dyDescent="0.25">
      <c r="A132">
        <v>0.24497279909293801</v>
      </c>
      <c r="B132">
        <v>4.8883298329993599E-3</v>
      </c>
      <c r="C132">
        <v>50.113803172448499</v>
      </c>
      <c r="D132">
        <v>0</v>
      </c>
      <c r="E132" t="s">
        <v>29</v>
      </c>
      <c r="F132">
        <v>0.66446322044608996</v>
      </c>
      <c r="G132">
        <v>0.399205709254428</v>
      </c>
      <c r="H132">
        <v>6.5338509518526794E-2</v>
      </c>
      <c r="I132">
        <v>1</v>
      </c>
      <c r="J132" t="s">
        <v>46</v>
      </c>
      <c r="K132" t="s">
        <v>32</v>
      </c>
      <c r="N132" t="str">
        <f t="shared" si="5"/>
        <v>0.245 (0.005)</v>
      </c>
      <c r="O132" s="1">
        <f t="shared" si="6"/>
        <v>50.113999999999997</v>
      </c>
      <c r="P132" s="2" t="str">
        <f t="shared" si="7"/>
        <v>&lt;0.001</v>
      </c>
      <c r="Q132" s="2">
        <f t="shared" si="12"/>
        <v>0.39900000000000002</v>
      </c>
    </row>
    <row r="133" spans="1:17" x14ac:dyDescent="0.25">
      <c r="A133">
        <v>0.243844908535365</v>
      </c>
      <c r="B133">
        <v>6.63192613617683E-3</v>
      </c>
      <c r="C133">
        <v>36.768339020726302</v>
      </c>
      <c r="D133" s="5">
        <v>1.25493017005787E-266</v>
      </c>
      <c r="E133" t="s">
        <v>30</v>
      </c>
      <c r="F133">
        <v>0.432566721178955</v>
      </c>
      <c r="G133">
        <v>0.30195223355667999</v>
      </c>
      <c r="H133">
        <v>3.5172441848136199E-2</v>
      </c>
      <c r="I133">
        <v>1</v>
      </c>
      <c r="J133" t="s">
        <v>46</v>
      </c>
      <c r="K133" t="s">
        <v>32</v>
      </c>
      <c r="N133" t="str">
        <f t="shared" si="5"/>
        <v>0.244 (0.007)</v>
      </c>
      <c r="O133" s="1">
        <f t="shared" si="6"/>
        <v>36.768000000000001</v>
      </c>
      <c r="P133" s="2" t="str">
        <f t="shared" si="7"/>
        <v>&lt;0.001</v>
      </c>
      <c r="Q133" s="2">
        <f t="shared" si="12"/>
        <v>0.30199999999999999</v>
      </c>
    </row>
    <row r="134" spans="1:17" x14ac:dyDescent="0.25">
      <c r="A134">
        <v>0.208224581403335</v>
      </c>
      <c r="B134">
        <v>6.0775466383631996E-3</v>
      </c>
      <c r="C134">
        <v>34.261288936717001</v>
      </c>
      <c r="D134" s="5">
        <v>9.2852948331138895E-235</v>
      </c>
      <c r="E134" t="s">
        <v>31</v>
      </c>
      <c r="F134">
        <v>0.497389701857678</v>
      </c>
      <c r="G134">
        <v>0.33217117844513699</v>
      </c>
      <c r="H134">
        <v>3.05394978839638E-2</v>
      </c>
      <c r="I134">
        <v>1</v>
      </c>
      <c r="J134" t="s">
        <v>46</v>
      </c>
      <c r="K134" t="s">
        <v>32</v>
      </c>
      <c r="N134" t="str">
        <f t="shared" si="5"/>
        <v>0.208 (0.006)</v>
      </c>
      <c r="O134" s="1">
        <f t="shared" si="6"/>
        <v>34.261000000000003</v>
      </c>
      <c r="P134" s="2" t="str">
        <f t="shared" si="7"/>
        <v>&lt;0.001</v>
      </c>
      <c r="Q134" s="2">
        <f t="shared" si="12"/>
        <v>0.33200000000000002</v>
      </c>
    </row>
    <row r="135" spans="1:17" x14ac:dyDescent="0.25">
      <c r="A135">
        <v>3.5858877185588399E-3</v>
      </c>
      <c r="B135">
        <v>9.4914168941916798E-3</v>
      </c>
      <c r="C135">
        <v>0.37780320457246402</v>
      </c>
      <c r="D135">
        <v>0.70559040418875296</v>
      </c>
      <c r="E135" t="s">
        <v>33</v>
      </c>
      <c r="F135">
        <v>6.7202770631583097E-4</v>
      </c>
      <c r="G135">
        <v>6.7157638837593505E-4</v>
      </c>
      <c r="H135" s="5">
        <v>3.7135200415816502E-6</v>
      </c>
      <c r="I135">
        <v>0.14472949420973899</v>
      </c>
      <c r="J135" t="s">
        <v>46</v>
      </c>
      <c r="K135" t="s">
        <v>32</v>
      </c>
      <c r="N135" t="str">
        <f t="shared" ref="N135:N146" si="13">_xlfn.CONCAT(ROUND(A135,3), " (",IF(B135&lt;0.001, "&lt;0.001",ROUND(B135,3)),")")</f>
        <v>0.004 (0.009)</v>
      </c>
      <c r="O135" s="1">
        <f t="shared" ref="O135:O146" si="14">ROUND(C135,3)</f>
        <v>0.378</v>
      </c>
      <c r="P135" s="2">
        <f t="shared" ref="P135:P146" si="15">IF(D135&lt;0.001, "&lt;0.001",ROUND(D135,3))</f>
        <v>0.70599999999999996</v>
      </c>
      <c r="Q135" s="2" t="str">
        <f t="shared" si="12"/>
        <v>&lt;0.001</v>
      </c>
    </row>
    <row r="136" spans="1:17" x14ac:dyDescent="0.25">
      <c r="A136">
        <v>-1.0348535021622401E-2</v>
      </c>
      <c r="B136">
        <v>8.8969478018187994E-3</v>
      </c>
      <c r="C136">
        <v>-1.16315564080379</v>
      </c>
      <c r="D136">
        <v>0.244813472694689</v>
      </c>
      <c r="E136" t="s">
        <v>34</v>
      </c>
      <c r="F136">
        <v>4.8739396063811498E-4</v>
      </c>
      <c r="G136">
        <v>4.8715652349067999E-4</v>
      </c>
      <c r="H136" s="5">
        <v>3.5198986577000803E-5</v>
      </c>
      <c r="I136">
        <v>0.113515477560791</v>
      </c>
      <c r="J136" t="s">
        <v>46</v>
      </c>
      <c r="K136" t="s">
        <v>32</v>
      </c>
      <c r="N136" t="str">
        <f t="shared" si="13"/>
        <v>-0.01 (0.009)</v>
      </c>
      <c r="O136" s="1">
        <f t="shared" si="14"/>
        <v>-1.163</v>
      </c>
      <c r="P136" s="2">
        <f t="shared" si="15"/>
        <v>0.245</v>
      </c>
      <c r="Q136" s="2" t="str">
        <f t="shared" si="12"/>
        <v>&lt;0.001</v>
      </c>
    </row>
    <row r="137" spans="1:17" x14ac:dyDescent="0.25">
      <c r="A137">
        <v>-2.2701732129060001E-2</v>
      </c>
      <c r="B137">
        <v>8.8969478018186502E-3</v>
      </c>
      <c r="C137">
        <v>-2.5516314847232802</v>
      </c>
      <c r="D137">
        <v>1.07470234505034E-2</v>
      </c>
      <c r="E137" t="s">
        <v>35</v>
      </c>
      <c r="F137" s="5">
        <v>5.9083182194710602E-5</v>
      </c>
      <c r="G137" s="5">
        <v>5.9079691578528997E-5</v>
      </c>
      <c r="H137">
        <v>1.6939102735857899E-4</v>
      </c>
      <c r="I137">
        <v>5.61845166178696E-2</v>
      </c>
      <c r="J137" t="s">
        <v>46</v>
      </c>
      <c r="K137" t="s">
        <v>32</v>
      </c>
      <c r="N137" t="str">
        <f t="shared" si="13"/>
        <v>-0.023 (0.009)</v>
      </c>
      <c r="O137" s="1">
        <f t="shared" si="14"/>
        <v>-2.552</v>
      </c>
      <c r="P137" s="2">
        <f t="shared" si="15"/>
        <v>1.0999999999999999E-2</v>
      </c>
      <c r="Q137" s="2" t="str">
        <f t="shared" si="12"/>
        <v>&lt;0.001</v>
      </c>
    </row>
    <row r="138" spans="1:17" x14ac:dyDescent="0.25">
      <c r="A138">
        <v>-8.5601664443875097E-2</v>
      </c>
      <c r="B138">
        <v>6.8996227604598802E-3</v>
      </c>
      <c r="C138">
        <v>-12.406716630137799</v>
      </c>
      <c r="D138" s="5">
        <v>6.5398550355663796E-35</v>
      </c>
      <c r="E138" t="s">
        <v>36</v>
      </c>
      <c r="F138">
        <v>1.9675130062918898E-2</v>
      </c>
      <c r="G138">
        <v>1.9295488810936099E-2</v>
      </c>
      <c r="H138">
        <v>4.0046837314757803E-3</v>
      </c>
      <c r="I138">
        <v>0.99999999961933195</v>
      </c>
      <c r="J138" t="s">
        <v>46</v>
      </c>
      <c r="K138" t="s">
        <v>32</v>
      </c>
      <c r="N138" t="str">
        <f t="shared" si="13"/>
        <v>-0.086 (0.007)</v>
      </c>
      <c r="O138" s="1">
        <f t="shared" si="14"/>
        <v>-12.407</v>
      </c>
      <c r="P138" s="2" t="str">
        <f t="shared" si="15"/>
        <v>&lt;0.001</v>
      </c>
      <c r="Q138" s="2">
        <f t="shared" si="12"/>
        <v>1.9E-2</v>
      </c>
    </row>
    <row r="139" spans="1:17" x14ac:dyDescent="0.25">
      <c r="A139">
        <v>-7.6561703425351402E-2</v>
      </c>
      <c r="B139">
        <v>9.3696669898863504E-3</v>
      </c>
      <c r="C139">
        <v>-8.1712299389073699</v>
      </c>
      <c r="D139" s="5">
        <v>3.7038338755474601E-16</v>
      </c>
      <c r="E139" t="s">
        <v>37</v>
      </c>
      <c r="F139">
        <v>9.2933820521034997E-3</v>
      </c>
      <c r="G139">
        <v>9.2078103526331608E-3</v>
      </c>
      <c r="H139">
        <v>1.7371181618308601E-3</v>
      </c>
      <c r="I139">
        <v>0.99900542825042804</v>
      </c>
      <c r="J139" t="s">
        <v>46</v>
      </c>
      <c r="K139" t="s">
        <v>32</v>
      </c>
      <c r="N139" t="str">
        <f t="shared" si="13"/>
        <v>-0.077 (0.009)</v>
      </c>
      <c r="O139" s="1">
        <f t="shared" si="14"/>
        <v>-8.1709999999999994</v>
      </c>
      <c r="P139" s="2" t="str">
        <f t="shared" si="15"/>
        <v>&lt;0.001</v>
      </c>
      <c r="Q139" s="2">
        <f t="shared" si="12"/>
        <v>8.9999999999999993E-3</v>
      </c>
    </row>
    <row r="140" spans="1:17" x14ac:dyDescent="0.25">
      <c r="A140">
        <v>-7.2727797174860401E-2</v>
      </c>
      <c r="B140">
        <v>8.5836817455667604E-3</v>
      </c>
      <c r="C140">
        <v>-8.4727974930363992</v>
      </c>
      <c r="D140" s="5">
        <v>2.9940674949637401E-17</v>
      </c>
      <c r="E140" t="s">
        <v>38</v>
      </c>
      <c r="F140">
        <v>2.08605276679702E-2</v>
      </c>
      <c r="G140">
        <v>2.04342582582006E-2</v>
      </c>
      <c r="H140">
        <v>1.8677044369160799E-3</v>
      </c>
      <c r="I140">
        <v>0.99999999994438804</v>
      </c>
      <c r="J140" t="s">
        <v>46</v>
      </c>
      <c r="K140" t="s">
        <v>32</v>
      </c>
      <c r="N140" t="str">
        <f t="shared" si="13"/>
        <v>-0.073 (0.009)</v>
      </c>
      <c r="O140" s="1">
        <f t="shared" si="14"/>
        <v>-8.4730000000000008</v>
      </c>
      <c r="P140" s="2" t="str">
        <f t="shared" si="15"/>
        <v>&lt;0.001</v>
      </c>
      <c r="Q140" s="2">
        <f t="shared" si="12"/>
        <v>0.02</v>
      </c>
    </row>
    <row r="141" spans="1:17" x14ac:dyDescent="0.25">
      <c r="A141">
        <v>1.53152110374847E-2</v>
      </c>
      <c r="B141">
        <v>9.4914168941917093E-3</v>
      </c>
      <c r="C141">
        <v>1.61358532748223</v>
      </c>
      <c r="D141">
        <v>0.106670961500949</v>
      </c>
      <c r="E141" t="s">
        <v>39</v>
      </c>
      <c r="F141">
        <v>6.3854473270970997E-4</v>
      </c>
      <c r="G141">
        <v>6.3813725352772398E-4</v>
      </c>
      <c r="H141" s="5">
        <v>6.7738935838113106E-5</v>
      </c>
      <c r="I141">
        <v>0.13879812753728499</v>
      </c>
      <c r="J141" t="s">
        <v>46</v>
      </c>
      <c r="K141" t="s">
        <v>32</v>
      </c>
      <c r="N141" t="str">
        <f t="shared" si="13"/>
        <v>0.015 (0.009)</v>
      </c>
      <c r="O141" s="1">
        <f t="shared" si="14"/>
        <v>1.6140000000000001</v>
      </c>
      <c r="P141" s="2">
        <f t="shared" si="15"/>
        <v>0.107</v>
      </c>
      <c r="Q141" s="2" t="str">
        <f t="shared" si="12"/>
        <v>&lt;0.001</v>
      </c>
    </row>
    <row r="142" spans="1:17" x14ac:dyDescent="0.25">
      <c r="A142">
        <v>-4.3894224196586902E-3</v>
      </c>
      <c r="B142">
        <v>8.8969478018187508E-3</v>
      </c>
      <c r="C142">
        <v>-0.49336272589588398</v>
      </c>
      <c r="D142">
        <v>0.621774705579623</v>
      </c>
      <c r="E142" t="s">
        <v>40</v>
      </c>
      <c r="F142" s="5">
        <v>6.3262402317740801E-6</v>
      </c>
      <c r="G142" s="5">
        <v>6.32620021071179E-6</v>
      </c>
      <c r="H142" s="5">
        <v>6.3326745223246703E-6</v>
      </c>
      <c r="I142">
        <v>5.0642203277730197E-2</v>
      </c>
      <c r="J142" t="s">
        <v>46</v>
      </c>
      <c r="K142" t="s">
        <v>32</v>
      </c>
      <c r="N142" t="str">
        <f t="shared" si="13"/>
        <v>-0.004 (0.009)</v>
      </c>
      <c r="O142" s="1">
        <f t="shared" si="14"/>
        <v>-0.49299999999999999</v>
      </c>
      <c r="P142" s="2">
        <f t="shared" si="15"/>
        <v>0.622</v>
      </c>
      <c r="Q142" s="2" t="str">
        <f t="shared" si="12"/>
        <v>&lt;0.001</v>
      </c>
    </row>
    <row r="143" spans="1:17" x14ac:dyDescent="0.25">
      <c r="A143">
        <v>-1.17404446923859E-2</v>
      </c>
      <c r="B143">
        <v>8.8969478018186901E-3</v>
      </c>
      <c r="C143">
        <v>-1.3196036386754999</v>
      </c>
      <c r="D143">
        <v>0.18701866765369601</v>
      </c>
      <c r="E143" t="s">
        <v>41</v>
      </c>
      <c r="F143">
        <v>2.0785983803369001E-4</v>
      </c>
      <c r="G143">
        <v>2.0781664130028801E-4</v>
      </c>
      <c r="H143" s="5">
        <v>4.5304517163335897E-5</v>
      </c>
      <c r="I143">
        <v>7.3619345804106506E-2</v>
      </c>
      <c r="J143" t="s">
        <v>46</v>
      </c>
      <c r="K143" t="s">
        <v>32</v>
      </c>
      <c r="N143" t="str">
        <f t="shared" si="13"/>
        <v>-0.012 (0.009)</v>
      </c>
      <c r="O143" s="1">
        <f t="shared" si="14"/>
        <v>-1.32</v>
      </c>
      <c r="P143" s="2">
        <f t="shared" si="15"/>
        <v>0.187</v>
      </c>
      <c r="Q143" s="2" t="str">
        <f t="shared" si="12"/>
        <v>&lt;0.001</v>
      </c>
    </row>
    <row r="144" spans="1:17" x14ac:dyDescent="0.25">
      <c r="A144">
        <v>-1.84964013363248E-2</v>
      </c>
      <c r="B144">
        <v>6.8996227604598802E-3</v>
      </c>
      <c r="C144">
        <v>-2.6807844397411702</v>
      </c>
      <c r="D144">
        <v>7.3654350122111098E-3</v>
      </c>
      <c r="E144" t="s">
        <v>42</v>
      </c>
      <c r="F144">
        <v>1.3216654965773501E-3</v>
      </c>
      <c r="G144">
        <v>1.3199210025301E-3</v>
      </c>
      <c r="H144">
        <v>1.86972736998414E-4</v>
      </c>
      <c r="I144">
        <v>0.27921149902919101</v>
      </c>
      <c r="J144" t="s">
        <v>46</v>
      </c>
      <c r="K144" t="s">
        <v>32</v>
      </c>
      <c r="N144" t="str">
        <f t="shared" si="13"/>
        <v>-0.018 (0.007)</v>
      </c>
      <c r="O144" s="1">
        <f t="shared" si="14"/>
        <v>-2.681</v>
      </c>
      <c r="P144" s="2">
        <f t="shared" si="15"/>
        <v>7.0000000000000001E-3</v>
      </c>
      <c r="Q144" s="2">
        <f t="shared" si="12"/>
        <v>1E-3</v>
      </c>
    </row>
    <row r="145" spans="1:17" x14ac:dyDescent="0.25">
      <c r="A145">
        <v>-1.69613136418762E-2</v>
      </c>
      <c r="B145">
        <v>9.3696669898862602E-3</v>
      </c>
      <c r="C145">
        <v>-1.8102365495149799</v>
      </c>
      <c r="D145">
        <v>7.0310043488657395E-2</v>
      </c>
      <c r="E145" t="s">
        <v>43</v>
      </c>
      <c r="F145">
        <v>6.9739260427109401E-4</v>
      </c>
      <c r="G145">
        <v>6.9690658677161205E-4</v>
      </c>
      <c r="H145" s="5">
        <v>8.5256039885517305E-5</v>
      </c>
      <c r="I145">
        <v>0.149299611294826</v>
      </c>
      <c r="J145" t="s">
        <v>46</v>
      </c>
      <c r="K145" t="s">
        <v>32</v>
      </c>
      <c r="N145" t="str">
        <f t="shared" si="13"/>
        <v>-0.017 (0.009)</v>
      </c>
      <c r="O145" s="1">
        <f t="shared" si="14"/>
        <v>-1.81</v>
      </c>
      <c r="P145" s="2">
        <f t="shared" si="15"/>
        <v>7.0000000000000007E-2</v>
      </c>
      <c r="Q145" s="2" t="str">
        <f t="shared" si="12"/>
        <v>&lt;0.001</v>
      </c>
    </row>
    <row r="146" spans="1:17" x14ac:dyDescent="0.25">
      <c r="A146">
        <v>1.93573775574413E-2</v>
      </c>
      <c r="B146">
        <v>8.5836817455668193E-3</v>
      </c>
      <c r="C146">
        <v>2.2551369134158299</v>
      </c>
      <c r="D146">
        <v>2.4161289908886899E-2</v>
      </c>
      <c r="E146" t="s">
        <v>44</v>
      </c>
      <c r="F146">
        <v>8.6329018812606698E-4</v>
      </c>
      <c r="G146">
        <v>8.6254556100643796E-4</v>
      </c>
      <c r="H146">
        <v>1.3231233234556301E-4</v>
      </c>
      <c r="I146">
        <v>0.18074444228508799</v>
      </c>
      <c r="J146" t="s">
        <v>46</v>
      </c>
      <c r="K146" t="s">
        <v>32</v>
      </c>
      <c r="N146" t="str">
        <f t="shared" si="13"/>
        <v>0.019 (0.009)</v>
      </c>
      <c r="O146" s="1">
        <f t="shared" si="14"/>
        <v>2.2549999999999999</v>
      </c>
      <c r="P146" s="2">
        <f t="shared" si="15"/>
        <v>2.4E-2</v>
      </c>
      <c r="Q146" s="2" t="str">
        <f t="shared" si="12"/>
        <v>&lt;0.001</v>
      </c>
    </row>
  </sheetData>
  <autoFilter ref="A1:Q146" xr:uid="{C47C8BEA-A763-42DE-93DE-1CE88A84A31B}">
    <filterColumn colId="10">
      <filters>
        <filter val="classifier-method-interaction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RegressionDetailResults_v2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Allen Baacke</cp:lastModifiedBy>
  <dcterms:created xsi:type="dcterms:W3CDTF">2025-10-06T16:59:20Z</dcterms:created>
  <dcterms:modified xsi:type="dcterms:W3CDTF">2025-10-13T16:00:31Z</dcterms:modified>
</cp:coreProperties>
</file>