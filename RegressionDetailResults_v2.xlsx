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GitHub\HCP-Analyses\"/>
    </mc:Choice>
  </mc:AlternateContent>
  <xr:revisionPtr revIDLastSave="0" documentId="13_ncr:9_{BA7260DD-E2CD-44FC-BB2B-4B33AA22FA73}" xr6:coauthVersionLast="47" xr6:coauthVersionMax="47" xr10:uidLastSave="{00000000-0000-0000-0000-000000000000}"/>
  <bookViews>
    <workbookView xWindow="-120" yWindow="-120" windowWidth="38640" windowHeight="21120" xr2:uid="{892F263B-1F64-448A-87A5-956CC662A09C}"/>
  </bookViews>
  <sheets>
    <sheet name="RegressionDetailResults_v2" sheetId="1" r:id="rId1"/>
  </sheets>
  <definedNames>
    <definedName name="_xlnm._FilterDatabase" localSheetId="0" hidden="1">RegressionDetailResults_v2!$A$1:$N$110</definedName>
  </definedNames>
  <calcPr calcId="0"/>
</workbook>
</file>

<file path=xl/calcChain.xml><?xml version="1.0" encoding="utf-8"?>
<calcChain xmlns="http://schemas.openxmlformats.org/spreadsheetml/2006/main">
  <c r="R110" i="1" l="1"/>
  <c r="R109" i="1"/>
  <c r="R108" i="1"/>
  <c r="R107" i="1"/>
  <c r="R106" i="1"/>
  <c r="R105" i="1"/>
  <c r="R104" i="1"/>
  <c r="R103" i="1"/>
  <c r="R102" i="1"/>
  <c r="R101" i="1"/>
  <c r="R100" i="1"/>
  <c r="R99" i="1"/>
  <c r="R97" i="1"/>
  <c r="R96" i="1"/>
  <c r="R95" i="1"/>
  <c r="R94" i="1"/>
  <c r="R93" i="1"/>
  <c r="R92" i="1"/>
  <c r="R90" i="1"/>
  <c r="R89" i="1"/>
  <c r="R87" i="1"/>
  <c r="R86" i="1"/>
  <c r="R85" i="1"/>
  <c r="R84" i="1"/>
  <c r="R82" i="1"/>
  <c r="R81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O82" i="1"/>
  <c r="P82" i="1"/>
  <c r="Q82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7" i="1"/>
  <c r="Q96" i="1"/>
  <c r="Q95" i="1"/>
  <c r="Q94" i="1"/>
  <c r="Q93" i="1"/>
  <c r="Q92" i="1"/>
  <c r="Q90" i="1"/>
  <c r="Q89" i="1"/>
  <c r="Q87" i="1"/>
  <c r="Q86" i="1"/>
  <c r="Q85" i="1"/>
  <c r="Q84" i="1"/>
  <c r="Q55" i="1"/>
  <c r="Q54" i="1"/>
  <c r="Q53" i="1"/>
  <c r="Q52" i="1"/>
  <c r="Q51" i="1"/>
  <c r="Q50" i="1"/>
  <c r="Q49" i="1"/>
  <c r="Q48" i="1"/>
  <c r="Q47" i="1"/>
  <c r="Q46" i="1"/>
  <c r="Q45" i="1"/>
  <c r="Q44" i="1"/>
  <c r="Q42" i="1"/>
  <c r="Q41" i="1"/>
  <c r="Q40" i="1"/>
  <c r="Q39" i="1"/>
  <c r="Q38" i="1"/>
  <c r="Q37" i="1"/>
  <c r="Q35" i="1"/>
  <c r="Q34" i="1"/>
  <c r="Q32" i="1"/>
  <c r="Q31" i="1"/>
  <c r="Q30" i="1"/>
  <c r="Q29" i="1"/>
  <c r="Q27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7" i="1"/>
  <c r="O97" i="1"/>
  <c r="P96" i="1"/>
  <c r="O96" i="1"/>
  <c r="P95" i="1"/>
  <c r="O95" i="1"/>
  <c r="P94" i="1"/>
  <c r="O94" i="1"/>
  <c r="P93" i="1"/>
  <c r="O93" i="1"/>
  <c r="P92" i="1"/>
  <c r="O92" i="1"/>
  <c r="P90" i="1"/>
  <c r="O90" i="1"/>
  <c r="P89" i="1"/>
  <c r="O89" i="1"/>
  <c r="P87" i="1"/>
  <c r="O87" i="1"/>
  <c r="P86" i="1"/>
  <c r="O86" i="1"/>
  <c r="P85" i="1"/>
  <c r="O85" i="1"/>
  <c r="P84" i="1"/>
  <c r="O84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2" i="1"/>
  <c r="O42" i="1"/>
  <c r="P41" i="1"/>
  <c r="O41" i="1"/>
  <c r="P40" i="1"/>
  <c r="O40" i="1"/>
  <c r="P39" i="1"/>
  <c r="O39" i="1"/>
  <c r="P38" i="1"/>
  <c r="O38" i="1"/>
  <c r="P37" i="1"/>
  <c r="O37" i="1"/>
  <c r="P35" i="1"/>
  <c r="O35" i="1"/>
  <c r="P34" i="1"/>
  <c r="O34" i="1"/>
  <c r="P32" i="1"/>
  <c r="O32" i="1"/>
  <c r="P31" i="1"/>
  <c r="O31" i="1"/>
  <c r="P30" i="1"/>
  <c r="O30" i="1"/>
  <c r="P29" i="1"/>
  <c r="O29" i="1"/>
  <c r="P27" i="1"/>
  <c r="O27" i="1"/>
</calcChain>
</file>

<file path=xl/sharedStrings.xml><?xml version="1.0" encoding="utf-8"?>
<sst xmlns="http://schemas.openxmlformats.org/spreadsheetml/2006/main" count="358" uniqueCount="51">
  <si>
    <t>Estimate</t>
  </si>
  <si>
    <t>Std. Error</t>
  </si>
  <si>
    <t>t value</t>
  </si>
  <si>
    <t>Pr(&gt;|t|)</t>
  </si>
  <si>
    <t>variable_name</t>
  </si>
  <si>
    <t>VIF</t>
  </si>
  <si>
    <t>Cohens_f2_partial_vec</t>
  </si>
  <si>
    <t>Eta2_partial_vec</t>
  </si>
  <si>
    <t>r2_partial_vec</t>
  </si>
  <si>
    <t>power</t>
  </si>
  <si>
    <t>label_col_1</t>
  </si>
  <si>
    <t>label_col_2</t>
  </si>
  <si>
    <t>label_col_3</t>
  </si>
  <si>
    <t>label_col_4</t>
  </si>
  <si>
    <t>(Intercept)</t>
  </si>
  <si>
    <t>NA</t>
  </si>
  <si>
    <t>function (lambda = 1) _x000D_
{_x000D_
    if (!is.numeric(lambda) || is.na(lambda)) _x000D_
        stop("invalid argument 'lambda'")_x000D_
    if (lambda &lt;= 0) _x000D_
        return(make.link("log"))_x000D_
    if (lambda == 1) _x000D_
        return(make.link("identity"))_x000D_
    linkfun &lt;- function(mu) mu^lambda_x000D_
    linkinv &lt;- function(eta) pmax(eta^(1/lambda), .Machine$double.eps)_x000D_
    mu.eta &lt;- function(eta) pmax((1/lambda) * eta^(1/lambda - 1), .Machine$double.eps)_x000D_
    valideta &lt;- function(eta) all(is.finite(eta)) &amp;&amp; all(eta &gt; 0)_x000D_
    link &lt;- paste0("mu^", round(lambda, 3))_x000D_
    structure(list(linkfun = linkfun, linkinv = linkinv, mu.eta = mu.eta, valideta = valideta, name = link), class = "link-glm")_x000D_
}</t>
  </si>
  <si>
    <t>HCP</t>
  </si>
  <si>
    <t>baseline</t>
  </si>
  <si>
    <t>n_features</t>
  </si>
  <si>
    <t>n_features_log10</t>
  </si>
  <si>
    <t>n_features_sqrt</t>
  </si>
  <si>
    <t>n_features_cbrt</t>
  </si>
  <si>
    <t>classifier</t>
  </si>
  <si>
    <t>Classifier_rf</t>
  </si>
  <si>
    <t>Classifier_rr</t>
  </si>
  <si>
    <t>classifier-method</t>
  </si>
  <si>
    <t>Method_Hierarchical</t>
  </si>
  <si>
    <t>Method_rfSelected</t>
  </si>
  <si>
    <t>Method_PermutationImportance</t>
  </si>
  <si>
    <t>Method_kPCA</t>
  </si>
  <si>
    <t>Method_PCA</t>
  </si>
  <si>
    <t>Method_TSVD</t>
  </si>
  <si>
    <t>classifier-method-interaction</t>
  </si>
  <si>
    <t>Classifier_rf:Method_Hierarchical</t>
  </si>
  <si>
    <t>Classifier_rf:Method_rfSelected</t>
  </si>
  <si>
    <t>Classifier_rf:Method_PermutationImportance</t>
  </si>
  <si>
    <t>Classifier_rf:Method_kPCA</t>
  </si>
  <si>
    <t>Classifier_rf:Method_PCA</t>
  </si>
  <si>
    <t>Classifier_rf:Method_TSVD</t>
  </si>
  <si>
    <t>Classifier_rr:Method_Hierarchical</t>
  </si>
  <si>
    <t>Classifier_rr:Method_rfSelected</t>
  </si>
  <si>
    <t>Classifier_rr:Method_PermutationImportance</t>
  </si>
  <si>
    <t>Classifier_rr:Method_kPCA</t>
  </si>
  <si>
    <t>Classifier_rr:Method_PCA</t>
  </si>
  <si>
    <t>Classifier_rr:Method_TSVD</t>
  </si>
  <si>
    <t>UCLA</t>
  </si>
  <si>
    <r>
      <t>b</t>
    </r>
    <r>
      <rPr>
        <sz val="10"/>
        <color rgb="FF000000"/>
        <rFont val="Arial"/>
        <family val="2"/>
      </rPr>
      <t xml:space="preserve"> (SE)</t>
    </r>
  </si>
  <si>
    <t>t</t>
  </si>
  <si>
    <t>p</t>
  </si>
  <si>
    <t>η2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</si>
</sst>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/>
    <xf numFmtId="16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479C-E206-4D02-B74B-3A6FAB7602A2}">
  <sheetPr filterMode="1"/>
  <dimension ref="A1:R110"/>
  <sheetViews>
    <sheetView tabSelected="1" topLeftCell="A52" workbookViewId="0">
      <selection activeCell="V93" sqref="V93"/>
    </sheetView>
  </sheetViews>
  <sheetFormatPr defaultRowHeight="15" x14ac:dyDescent="0.25"/>
  <cols>
    <col min="1" max="1" width="12.7109375" style="4" bestFit="1" customWidth="1"/>
    <col min="2" max="2" width="12" style="4" bestFit="1" customWidth="1"/>
    <col min="3" max="3" width="12.7109375" style="3" bestFit="1" customWidth="1"/>
    <col min="4" max="4" width="12" style="4" bestFit="1" customWidth="1"/>
    <col min="5" max="5" width="41.5703125" bestFit="1" customWidth="1"/>
    <col min="6" max="6" width="12" bestFit="1" customWidth="1"/>
    <col min="7" max="7" width="23" bestFit="1" customWidth="1"/>
    <col min="8" max="8" width="17.5703125" bestFit="1" customWidth="1"/>
    <col min="9" max="9" width="15.5703125" style="3" bestFit="1" customWidth="1"/>
    <col min="10" max="10" width="12" style="6" bestFit="1" customWidth="1"/>
    <col min="11" max="11" width="13.140625" bestFit="1" customWidth="1"/>
    <col min="12" max="12" width="27.42578125" bestFit="1" customWidth="1"/>
    <col min="13" max="14" width="13.140625" bestFit="1" customWidth="1"/>
    <col min="15" max="15" width="12.7109375" bestFit="1" customWidth="1"/>
    <col min="18" max="18" width="9.140625" style="4"/>
  </cols>
  <sheetData>
    <row r="1" spans="1:18" ht="15.75" thickBot="1" x14ac:dyDescent="0.3">
      <c r="A1" s="4" t="s">
        <v>0</v>
      </c>
      <c r="B1" s="4" t="s">
        <v>1</v>
      </c>
      <c r="C1" s="3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6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47</v>
      </c>
      <c r="P1" s="5" t="s">
        <v>48</v>
      </c>
      <c r="Q1" s="5" t="s">
        <v>49</v>
      </c>
      <c r="R1" s="7" t="s">
        <v>50</v>
      </c>
    </row>
    <row r="2" spans="1:18" hidden="1" x14ac:dyDescent="0.25">
      <c r="A2">
        <v>0.224442968680375</v>
      </c>
      <c r="B2">
        <v>2.6355917857532499E-2</v>
      </c>
      <c r="C2">
        <v>8.5158471768506292</v>
      </c>
      <c r="D2" s="1">
        <v>2.0820125821311799E-17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s="2" t="s">
        <v>16</v>
      </c>
      <c r="K2" t="s">
        <v>17</v>
      </c>
      <c r="L2" t="s">
        <v>18</v>
      </c>
      <c r="R2"/>
    </row>
    <row r="3" spans="1:18" hidden="1" x14ac:dyDescent="0.25">
      <c r="A3" s="1">
        <v>-4.26516334410256E-5</v>
      </c>
      <c r="B3" s="1">
        <v>2.1364572781229901E-5</v>
      </c>
      <c r="C3">
        <v>-1.9963719320658599</v>
      </c>
      <c r="D3">
        <v>4.5939974814211103E-2</v>
      </c>
      <c r="E3" t="s">
        <v>19</v>
      </c>
      <c r="F3">
        <v>198.62887621194901</v>
      </c>
      <c r="G3">
        <v>4.7630498954185398E-2</v>
      </c>
      <c r="H3">
        <v>4.5464979304948902E-2</v>
      </c>
      <c r="I3">
        <v>5.7551773560884901E-4</v>
      </c>
      <c r="J3">
        <v>1</v>
      </c>
      <c r="K3" t="s">
        <v>17</v>
      </c>
      <c r="L3" t="s">
        <v>18</v>
      </c>
      <c r="R3"/>
    </row>
    <row r="4" spans="1:18" hidden="1" x14ac:dyDescent="0.25">
      <c r="A4">
        <v>0.401784501089816</v>
      </c>
      <c r="B4">
        <v>6.6011580267835601E-2</v>
      </c>
      <c r="C4">
        <v>6.0865760137784104</v>
      </c>
      <c r="D4" s="1">
        <v>1.2271220073920301E-9</v>
      </c>
      <c r="E4" t="s">
        <v>20</v>
      </c>
      <c r="F4">
        <v>180.54143465828</v>
      </c>
      <c r="G4">
        <v>0.139285194977704</v>
      </c>
      <c r="H4">
        <v>0.122256653199491</v>
      </c>
      <c r="I4">
        <v>5.3496072840863397E-3</v>
      </c>
      <c r="J4">
        <v>1</v>
      </c>
      <c r="K4" t="s">
        <v>17</v>
      </c>
      <c r="L4" t="s">
        <v>18</v>
      </c>
      <c r="R4"/>
    </row>
    <row r="5" spans="1:18" hidden="1" x14ac:dyDescent="0.25">
      <c r="A5">
        <v>2.76023462646314E-2</v>
      </c>
      <c r="B5">
        <v>1.1410601493801201E-2</v>
      </c>
      <c r="C5">
        <v>2.4190088734258399</v>
      </c>
      <c r="D5">
        <v>1.5593341323142501E-2</v>
      </c>
      <c r="E5" t="s">
        <v>21</v>
      </c>
      <c r="F5">
        <v>4221.9146830734699</v>
      </c>
      <c r="G5">
        <v>2.0500027337091598E-3</v>
      </c>
      <c r="H5">
        <v>2.0458088200354398E-3</v>
      </c>
      <c r="I5">
        <v>8.4498835536389605E-4</v>
      </c>
      <c r="J5">
        <v>0.79970413953921704</v>
      </c>
      <c r="K5" t="s">
        <v>17</v>
      </c>
      <c r="L5" t="s">
        <v>18</v>
      </c>
      <c r="R5"/>
    </row>
    <row r="6" spans="1:18" hidden="1" x14ac:dyDescent="0.25">
      <c r="A6">
        <v>-0.15375675452566701</v>
      </c>
      <c r="B6">
        <v>5.5525320277859599E-2</v>
      </c>
      <c r="C6">
        <v>-2.7691286381823401</v>
      </c>
      <c r="D6">
        <v>5.6384509842136998E-3</v>
      </c>
      <c r="E6" t="s">
        <v>22</v>
      </c>
      <c r="F6">
        <v>4130.2631698067999</v>
      </c>
      <c r="G6">
        <v>1.31799130539731E-3</v>
      </c>
      <c r="H6">
        <v>1.3162564907867799E-3</v>
      </c>
      <c r="I6">
        <v>1.1072917479396599E-3</v>
      </c>
      <c r="J6">
        <v>0.58390156252361802</v>
      </c>
      <c r="K6" t="s">
        <v>17</v>
      </c>
      <c r="L6" t="s">
        <v>18</v>
      </c>
      <c r="R6"/>
    </row>
    <row r="7" spans="1:18" hidden="1" x14ac:dyDescent="0.25">
      <c r="A7">
        <v>-0.14832232410858201</v>
      </c>
      <c r="B7">
        <v>1.12614150162079E-2</v>
      </c>
      <c r="C7">
        <v>-13.1708425535433</v>
      </c>
      <c r="D7" s="1">
        <v>4.6589810731964898E-39</v>
      </c>
      <c r="E7" t="s">
        <v>14</v>
      </c>
      <c r="F7" t="s">
        <v>15</v>
      </c>
      <c r="G7" t="s">
        <v>15</v>
      </c>
      <c r="H7" t="s">
        <v>15</v>
      </c>
      <c r="I7" t="s">
        <v>15</v>
      </c>
      <c r="J7" s="2" t="s">
        <v>16</v>
      </c>
      <c r="K7" t="s">
        <v>17</v>
      </c>
      <c r="L7" t="s">
        <v>23</v>
      </c>
      <c r="R7"/>
    </row>
    <row r="8" spans="1:18" hidden="1" x14ac:dyDescent="0.25">
      <c r="A8" s="1">
        <v>-4.2651633441033102E-5</v>
      </c>
      <c r="B8" s="1">
        <v>8.9435542979423597E-6</v>
      </c>
      <c r="C8">
        <v>-4.768980208556</v>
      </c>
      <c r="D8" s="1">
        <v>1.8967666915811201E-6</v>
      </c>
      <c r="E8" t="s">
        <v>19</v>
      </c>
      <c r="F8">
        <v>198.62887621223999</v>
      </c>
      <c r="G8">
        <v>0.27189585047970799</v>
      </c>
      <c r="H8">
        <v>0.21377210278432801</v>
      </c>
      <c r="I8">
        <v>5.7551773560848797E-4</v>
      </c>
      <c r="J8">
        <v>1</v>
      </c>
      <c r="K8" t="s">
        <v>17</v>
      </c>
      <c r="L8" t="s">
        <v>23</v>
      </c>
      <c r="R8"/>
    </row>
    <row r="9" spans="1:18" hidden="1" x14ac:dyDescent="0.25">
      <c r="A9">
        <v>0.40178450108984198</v>
      </c>
      <c r="B9">
        <v>2.7633510787402799E-2</v>
      </c>
      <c r="C9">
        <v>14.5397558848369</v>
      </c>
      <c r="D9" s="1">
        <v>4.5062274258493098E-47</v>
      </c>
      <c r="E9" t="s">
        <v>20</v>
      </c>
      <c r="F9">
        <v>180.54143465855901</v>
      </c>
      <c r="G9">
        <v>0.79510119312673899</v>
      </c>
      <c r="H9">
        <v>0.44292834084847199</v>
      </c>
      <c r="I9">
        <v>5.34960728408707E-3</v>
      </c>
      <c r="J9">
        <v>1</v>
      </c>
      <c r="K9" t="s">
        <v>17</v>
      </c>
      <c r="L9" t="s">
        <v>23</v>
      </c>
      <c r="R9"/>
    </row>
    <row r="10" spans="1:18" hidden="1" x14ac:dyDescent="0.25">
      <c r="A10">
        <v>2.7602346264635699E-2</v>
      </c>
      <c r="B10">
        <v>4.7766615825640098E-3</v>
      </c>
      <c r="C10">
        <v>5.7785852708073397</v>
      </c>
      <c r="D10" s="1">
        <v>7.9239200428354898E-9</v>
      </c>
      <c r="E10" t="s">
        <v>21</v>
      </c>
      <c r="F10">
        <v>4221.9146830813297</v>
      </c>
      <c r="G10">
        <v>1.17023178216906E-2</v>
      </c>
      <c r="H10">
        <v>1.15669576075372E-2</v>
      </c>
      <c r="I10">
        <v>8.4498835536383999E-4</v>
      </c>
      <c r="J10">
        <v>0.99999987271939605</v>
      </c>
      <c r="K10" t="s">
        <v>17</v>
      </c>
      <c r="L10" t="s">
        <v>23</v>
      </c>
      <c r="R10"/>
    </row>
    <row r="11" spans="1:18" hidden="1" x14ac:dyDescent="0.25">
      <c r="A11">
        <v>-0.15375675452568899</v>
      </c>
      <c r="B11">
        <v>2.3243793447251401E-2</v>
      </c>
      <c r="C11">
        <v>-6.6149595966174202</v>
      </c>
      <c r="D11" s="1">
        <v>4.0487033762768698E-11</v>
      </c>
      <c r="E11" t="s">
        <v>22</v>
      </c>
      <c r="F11">
        <v>4130.2631698145897</v>
      </c>
      <c r="G11">
        <v>7.5236744265592603E-3</v>
      </c>
      <c r="H11">
        <v>7.4674914520906199E-3</v>
      </c>
      <c r="I11">
        <v>1.10729174793955E-3</v>
      </c>
      <c r="J11">
        <v>0.99982784878006703</v>
      </c>
      <c r="K11" t="s">
        <v>17</v>
      </c>
      <c r="L11" t="s">
        <v>23</v>
      </c>
      <c r="R11"/>
    </row>
    <row r="12" spans="1:18" hidden="1" x14ac:dyDescent="0.25">
      <c r="A12">
        <v>0.539975397328188</v>
      </c>
      <c r="B12">
        <v>3.9084984301946202E-3</v>
      </c>
      <c r="C12">
        <v>138.154180428134</v>
      </c>
      <c r="D12">
        <v>0</v>
      </c>
      <c r="E12" t="s">
        <v>24</v>
      </c>
      <c r="F12">
        <v>1.3333333333333299</v>
      </c>
      <c r="G12">
        <v>0.94406524545160897</v>
      </c>
      <c r="H12">
        <v>0.48561397188719402</v>
      </c>
      <c r="I12">
        <v>0.48298732439686398</v>
      </c>
      <c r="J12">
        <v>1</v>
      </c>
      <c r="K12" t="s">
        <v>17</v>
      </c>
      <c r="L12" t="s">
        <v>23</v>
      </c>
      <c r="R12"/>
    </row>
    <row r="13" spans="1:18" hidden="1" x14ac:dyDescent="0.25">
      <c r="A13">
        <v>0.57832048103864897</v>
      </c>
      <c r="B13">
        <v>3.9084984301946298E-3</v>
      </c>
      <c r="C13">
        <v>147.96487484065599</v>
      </c>
      <c r="D13">
        <v>0</v>
      </c>
      <c r="E13" t="s">
        <v>25</v>
      </c>
      <c r="F13">
        <v>1.3333333333333299</v>
      </c>
      <c r="G13">
        <v>3.7643748601463298</v>
      </c>
      <c r="H13">
        <v>0.79010887485681902</v>
      </c>
      <c r="I13">
        <v>0.55401935044884398</v>
      </c>
      <c r="J13">
        <v>1</v>
      </c>
      <c r="K13" t="s">
        <v>17</v>
      </c>
      <c r="L13" t="s">
        <v>23</v>
      </c>
      <c r="R13"/>
    </row>
    <row r="14" spans="1:18" hidden="1" x14ac:dyDescent="0.25">
      <c r="A14">
        <v>-0.18410188417440199</v>
      </c>
      <c r="B14">
        <v>1.0175106260108599E-2</v>
      </c>
      <c r="C14">
        <v>-18.0933623166346</v>
      </c>
      <c r="D14" s="1">
        <v>3.14849947812269E-71</v>
      </c>
      <c r="E14" t="s">
        <v>14</v>
      </c>
      <c r="F14" t="s">
        <v>15</v>
      </c>
      <c r="G14" t="s">
        <v>15</v>
      </c>
      <c r="H14" t="s">
        <v>15</v>
      </c>
      <c r="I14" t="s">
        <v>15</v>
      </c>
      <c r="J14" s="2" t="s">
        <v>16</v>
      </c>
      <c r="K14" t="s">
        <v>17</v>
      </c>
      <c r="L14" t="s">
        <v>26</v>
      </c>
      <c r="R14"/>
    </row>
    <row r="15" spans="1:18" hidden="1" x14ac:dyDescent="0.25">
      <c r="A15" s="1">
        <v>-4.80230050397607E-5</v>
      </c>
      <c r="B15" s="1">
        <v>8.0442983814660106E-6</v>
      </c>
      <c r="C15">
        <v>-5.9698189652444098</v>
      </c>
      <c r="D15" s="1">
        <v>2.5156251941796698E-9</v>
      </c>
      <c r="E15" t="s">
        <v>19</v>
      </c>
      <c r="F15">
        <v>198.988883313911</v>
      </c>
      <c r="G15">
        <v>0.33703983082802802</v>
      </c>
      <c r="H15">
        <v>0.25207912513668301</v>
      </c>
      <c r="I15">
        <v>7.2828205877584196E-4</v>
      </c>
      <c r="J15">
        <v>1</v>
      </c>
      <c r="K15" t="s">
        <v>17</v>
      </c>
      <c r="L15" t="s">
        <v>26</v>
      </c>
      <c r="R15"/>
    </row>
    <row r="16" spans="1:18" hidden="1" x14ac:dyDescent="0.25">
      <c r="A16">
        <v>0.41518169110777398</v>
      </c>
      <c r="B16">
        <v>2.4844744172085001E-2</v>
      </c>
      <c r="C16">
        <v>16.711047142689601</v>
      </c>
      <c r="D16" s="1">
        <v>2.8806987864188898E-61</v>
      </c>
      <c r="E16" t="s">
        <v>20</v>
      </c>
      <c r="F16">
        <v>180.71916072268499</v>
      </c>
      <c r="G16">
        <v>0.98560081424486101</v>
      </c>
      <c r="H16">
        <v>0.49637409854693898</v>
      </c>
      <c r="I16">
        <v>5.7066944144018601E-3</v>
      </c>
      <c r="J16">
        <v>1</v>
      </c>
      <c r="K16" t="s">
        <v>17</v>
      </c>
      <c r="L16" t="s">
        <v>26</v>
      </c>
      <c r="R16"/>
    </row>
    <row r="17" spans="1:18" hidden="1" x14ac:dyDescent="0.25">
      <c r="A17">
        <v>3.07582681647602E-2</v>
      </c>
      <c r="B17">
        <v>4.2948893173884303E-3</v>
      </c>
      <c r="C17">
        <v>7.1615973990834298</v>
      </c>
      <c r="D17" s="1">
        <v>8.9629527638196003E-13</v>
      </c>
      <c r="E17" t="s">
        <v>21</v>
      </c>
      <c r="F17">
        <v>4226.6359372199004</v>
      </c>
      <c r="G17">
        <v>1.45060956684691E-2</v>
      </c>
      <c r="H17">
        <v>1.4298677682080201E-2</v>
      </c>
      <c r="I17">
        <v>1.0480864205553199E-3</v>
      </c>
      <c r="J17">
        <v>0.99999997239690397</v>
      </c>
      <c r="K17" t="s">
        <v>17</v>
      </c>
      <c r="L17" t="s">
        <v>26</v>
      </c>
      <c r="R17"/>
    </row>
    <row r="18" spans="1:18" hidden="1" x14ac:dyDescent="0.25">
      <c r="A18">
        <v>-0.16761696020540501</v>
      </c>
      <c r="B18">
        <v>2.0896577809692601E-2</v>
      </c>
      <c r="C18">
        <v>-8.0212636601031697</v>
      </c>
      <c r="D18" s="1">
        <v>1.25591808688661E-15</v>
      </c>
      <c r="E18" t="s">
        <v>22</v>
      </c>
      <c r="F18">
        <v>4133.7521090372502</v>
      </c>
      <c r="G18">
        <v>9.32628413217341E-3</v>
      </c>
      <c r="H18">
        <v>9.2401082571551395E-3</v>
      </c>
      <c r="I18">
        <v>1.31480961799968E-3</v>
      </c>
      <c r="J18">
        <v>0.99990104890456</v>
      </c>
      <c r="K18" t="s">
        <v>17</v>
      </c>
      <c r="L18" t="s">
        <v>26</v>
      </c>
      <c r="R18"/>
    </row>
    <row r="19" spans="1:18" hidden="1" x14ac:dyDescent="0.25">
      <c r="A19">
        <v>0.539975397328187</v>
      </c>
      <c r="B19">
        <v>3.5123254483877802E-3</v>
      </c>
      <c r="C19">
        <v>153.737290368706</v>
      </c>
      <c r="D19">
        <v>0</v>
      </c>
      <c r="E19" t="s">
        <v>24</v>
      </c>
      <c r="F19">
        <v>1.3333333333333299</v>
      </c>
      <c r="G19">
        <v>1.17025541234355</v>
      </c>
      <c r="H19">
        <v>0.53922474087040695</v>
      </c>
      <c r="I19">
        <v>0.48298732439686398</v>
      </c>
      <c r="J19">
        <v>1</v>
      </c>
      <c r="K19" t="s">
        <v>17</v>
      </c>
      <c r="L19" t="s">
        <v>26</v>
      </c>
      <c r="R19"/>
    </row>
    <row r="20" spans="1:18" hidden="1" x14ac:dyDescent="0.25">
      <c r="A20">
        <v>0.57832048103864897</v>
      </c>
      <c r="B20">
        <v>3.5123254483877802E-3</v>
      </c>
      <c r="C20">
        <v>164.654582707906</v>
      </c>
      <c r="D20">
        <v>0</v>
      </c>
      <c r="E20" t="s">
        <v>25</v>
      </c>
      <c r="F20">
        <v>1.3333333333333299</v>
      </c>
      <c r="G20">
        <v>4.6662877119990798</v>
      </c>
      <c r="H20">
        <v>0.82351760961901499</v>
      </c>
      <c r="I20">
        <v>0.55401935044884398</v>
      </c>
      <c r="J20">
        <v>1</v>
      </c>
      <c r="K20" t="s">
        <v>17</v>
      </c>
      <c r="L20" t="s">
        <v>26</v>
      </c>
      <c r="R20"/>
    </row>
    <row r="21" spans="1:18" hidden="1" x14ac:dyDescent="0.25">
      <c r="A21">
        <v>2.8673549787086101E-2</v>
      </c>
      <c r="B21">
        <v>7.1305830815721399E-3</v>
      </c>
      <c r="C21">
        <v>4.0212068857578203</v>
      </c>
      <c r="D21" s="1">
        <v>5.8634379139409099E-5</v>
      </c>
      <c r="E21" t="s">
        <v>27</v>
      </c>
      <c r="F21">
        <v>1.0355180305413401</v>
      </c>
      <c r="G21">
        <v>4.8293002029201201E-4</v>
      </c>
      <c r="H21">
        <v>4.8269691146276498E-4</v>
      </c>
      <c r="I21">
        <v>3.3043810557054098E-4</v>
      </c>
      <c r="J21">
        <v>0.145206832657754</v>
      </c>
      <c r="K21" t="s">
        <v>17</v>
      </c>
      <c r="L21" t="s">
        <v>26</v>
      </c>
      <c r="R21"/>
    </row>
    <row r="22" spans="1:18" hidden="1" x14ac:dyDescent="0.25">
      <c r="A22">
        <v>7.4618983126841107E-2</v>
      </c>
      <c r="B22">
        <v>6.0450147822545099E-3</v>
      </c>
      <c r="C22">
        <v>12.3438876189169</v>
      </c>
      <c r="D22" s="1">
        <v>1.4211816633419701E-34</v>
      </c>
      <c r="E22" t="s">
        <v>28</v>
      </c>
      <c r="F22">
        <v>1.0388723119143899</v>
      </c>
      <c r="G22">
        <v>6.1398092600142597E-3</v>
      </c>
      <c r="H22">
        <v>6.1023420438258104E-3</v>
      </c>
      <c r="I22">
        <v>3.1137318346033901E-3</v>
      </c>
      <c r="J22">
        <v>0.99272284327954596</v>
      </c>
      <c r="K22" t="s">
        <v>17</v>
      </c>
      <c r="L22" t="s">
        <v>26</v>
      </c>
      <c r="R22"/>
    </row>
    <row r="23" spans="1:18" hidden="1" x14ac:dyDescent="0.25">
      <c r="A23">
        <v>0.10247008521173399</v>
      </c>
      <c r="B23">
        <v>6.0369151772818302E-3</v>
      </c>
      <c r="C23">
        <v>16.973915021590901</v>
      </c>
      <c r="D23" s="1">
        <v>4.1669877595327098E-63</v>
      </c>
      <c r="E23" t="s">
        <v>29</v>
      </c>
      <c r="F23">
        <v>1.0360902448859599</v>
      </c>
      <c r="G23">
        <v>2.3078941801968799E-2</v>
      </c>
      <c r="H23">
        <v>2.25583196554896E-2</v>
      </c>
      <c r="I23">
        <v>5.8876412002807398E-3</v>
      </c>
      <c r="J23">
        <v>0.999999999999995</v>
      </c>
      <c r="K23" t="s">
        <v>17</v>
      </c>
      <c r="L23" t="s">
        <v>26</v>
      </c>
      <c r="R23"/>
    </row>
    <row r="24" spans="1:18" hidden="1" x14ac:dyDescent="0.25">
      <c r="A24">
        <v>0.132070167419961</v>
      </c>
      <c r="B24">
        <v>4.70566617740066E-3</v>
      </c>
      <c r="C24">
        <v>28.066199862250802</v>
      </c>
      <c r="D24" s="1">
        <v>1.1880902736696301E-162</v>
      </c>
      <c r="E24" t="s">
        <v>30</v>
      </c>
      <c r="F24">
        <v>1.06511318075926</v>
      </c>
      <c r="G24">
        <v>0.101178551938578</v>
      </c>
      <c r="H24">
        <v>9.1882058327831903E-2</v>
      </c>
      <c r="I24">
        <v>1.6096984120448101E-2</v>
      </c>
      <c r="J24">
        <v>1</v>
      </c>
      <c r="K24" t="s">
        <v>17</v>
      </c>
      <c r="L24" t="s">
        <v>26</v>
      </c>
      <c r="R24"/>
    </row>
    <row r="25" spans="1:18" hidden="1" x14ac:dyDescent="0.25">
      <c r="A25">
        <v>0.12900726297387299</v>
      </c>
      <c r="B25">
        <v>6.3693043131117597E-3</v>
      </c>
      <c r="C25">
        <v>20.254529636509901</v>
      </c>
      <c r="D25" s="1">
        <v>3.3874268849259799E-88</v>
      </c>
      <c r="E25" t="s">
        <v>31</v>
      </c>
      <c r="F25">
        <v>1.03676636096997</v>
      </c>
      <c r="G25">
        <v>6.0764323523355798E-2</v>
      </c>
      <c r="H25">
        <v>5.7283528655569398E-2</v>
      </c>
      <c r="I25">
        <v>8.3834274998876301E-3</v>
      </c>
      <c r="J25">
        <v>1</v>
      </c>
      <c r="K25" t="s">
        <v>17</v>
      </c>
      <c r="L25" t="s">
        <v>26</v>
      </c>
      <c r="R25"/>
    </row>
    <row r="26" spans="1:18" hidden="1" x14ac:dyDescent="0.25">
      <c r="A26">
        <v>9.7328324461471896E-2</v>
      </c>
      <c r="B26">
        <v>5.8313613806788298E-3</v>
      </c>
      <c r="C26">
        <v>16.690497828509098</v>
      </c>
      <c r="D26" s="1">
        <v>4.0014916399462097E-61</v>
      </c>
      <c r="E26" t="s">
        <v>32</v>
      </c>
      <c r="F26">
        <v>1.0408795162751201</v>
      </c>
      <c r="G26">
        <v>4.7947111491130297E-2</v>
      </c>
      <c r="H26">
        <v>4.5753369578838902E-2</v>
      </c>
      <c r="I26">
        <v>5.69266817729841E-3</v>
      </c>
      <c r="J26">
        <v>1</v>
      </c>
      <c r="K26" t="s">
        <v>17</v>
      </c>
      <c r="L26" t="s">
        <v>26</v>
      </c>
      <c r="R26"/>
    </row>
    <row r="27" spans="1:18" x14ac:dyDescent="0.25">
      <c r="A27" s="4">
        <v>-0.13968106753990001</v>
      </c>
      <c r="B27" s="4">
        <v>9.1754960723971508E-3</v>
      </c>
      <c r="C27" s="3">
        <v>-15.2232714654094</v>
      </c>
      <c r="D27" s="4">
        <v>2.41176048534599E-51</v>
      </c>
      <c r="E27" t="s">
        <v>14</v>
      </c>
      <c r="F27" t="s">
        <v>15</v>
      </c>
      <c r="G27" t="s">
        <v>15</v>
      </c>
      <c r="H27" t="s">
        <v>15</v>
      </c>
      <c r="I27" s="3" t="s">
        <v>15</v>
      </c>
      <c r="J27" s="6" t="s">
        <v>16</v>
      </c>
      <c r="K27" t="s">
        <v>17</v>
      </c>
      <c r="L27" t="s">
        <v>33</v>
      </c>
      <c r="O27" t="str">
        <f>_xlfn.CONCAT(ROUND(A27,3), " (",ROUND(B27,3),")")</f>
        <v>-0.14 (0.009)</v>
      </c>
      <c r="P27" s="3">
        <f>ROUND(C27,3)</f>
        <v>-15.223000000000001</v>
      </c>
      <c r="Q27" s="4" t="str">
        <f>IF(D27&lt;0.001, "&lt;0.001",ROUND(D27,3))</f>
        <v>&lt;0.001</v>
      </c>
      <c r="R27" s="4" t="e">
        <f>IF(H27&lt;0.001,"&lt;0.001",ROUND(H27,3))</f>
        <v>#VALUE!</v>
      </c>
    </row>
    <row r="28" spans="1:18" x14ac:dyDescent="0.25">
      <c r="P28" s="3"/>
      <c r="Q28" s="4"/>
      <c r="R28" s="4" t="str">
        <f t="shared" ref="R28:R55" si="0">IF(H28&lt;0.001,"&lt;0.001",ROUND(H28,3))</f>
        <v>&lt;0.001</v>
      </c>
    </row>
    <row r="29" spans="1:18" x14ac:dyDescent="0.25">
      <c r="A29" s="4">
        <v>-4.80230050397636E-5</v>
      </c>
      <c r="B29" s="4">
        <v>7.1587322183918598E-6</v>
      </c>
      <c r="C29" s="3">
        <v>-6.7083114125131402</v>
      </c>
      <c r="D29" s="4">
        <v>2.1558222162394401E-11</v>
      </c>
      <c r="E29" t="s">
        <v>19</v>
      </c>
      <c r="F29">
        <v>198.98888331401699</v>
      </c>
      <c r="G29">
        <v>0.42646486522620902</v>
      </c>
      <c r="H29">
        <v>0.29896625961311701</v>
      </c>
      <c r="I29" s="3">
        <v>7.28282058776064E-4</v>
      </c>
      <c r="J29" s="6">
        <v>1</v>
      </c>
      <c r="K29" t="s">
        <v>17</v>
      </c>
      <c r="L29" t="s">
        <v>33</v>
      </c>
      <c r="O29" t="str">
        <f t="shared" ref="O29:O55" si="1">_xlfn.CONCAT(ROUND(A29,3), " (",ROUND(B29,3),")")</f>
        <v>0 (0)</v>
      </c>
      <c r="P29" s="3">
        <f t="shared" ref="P29:P55" si="2">ROUND(C29,3)</f>
        <v>-6.7080000000000002</v>
      </c>
      <c r="Q29" s="4" t="str">
        <f t="shared" ref="Q28:Q55" si="3">IF(D29&lt;0.001, "&lt;0.001",ROUND(D29,3))</f>
        <v>&lt;0.001</v>
      </c>
      <c r="R29" s="4">
        <f t="shared" si="0"/>
        <v>0.29899999999999999</v>
      </c>
    </row>
    <row r="30" spans="1:18" x14ac:dyDescent="0.25">
      <c r="A30" s="4">
        <v>0.41518169110778402</v>
      </c>
      <c r="B30" s="4">
        <v>2.21096809352807E-2</v>
      </c>
      <c r="C30" s="3">
        <v>18.7782760105449</v>
      </c>
      <c r="D30" s="4">
        <v>2.02661064286653E-76</v>
      </c>
      <c r="E30" t="s">
        <v>20</v>
      </c>
      <c r="F30">
        <v>180.71916072279501</v>
      </c>
      <c r="G30">
        <v>1.2471051785812399</v>
      </c>
      <c r="H30">
        <v>0.55498300233931497</v>
      </c>
      <c r="I30" s="3">
        <v>5.7066944144021896E-3</v>
      </c>
      <c r="J30" s="6">
        <v>1</v>
      </c>
      <c r="K30" t="s">
        <v>17</v>
      </c>
      <c r="L30" t="s">
        <v>33</v>
      </c>
      <c r="O30" t="str">
        <f t="shared" si="1"/>
        <v>0.415 (0.022)</v>
      </c>
      <c r="P30" s="3">
        <f t="shared" si="2"/>
        <v>18.777999999999999</v>
      </c>
      <c r="Q30" s="4" t="str">
        <f t="shared" si="3"/>
        <v>&lt;0.001</v>
      </c>
      <c r="R30" s="4">
        <f t="shared" si="0"/>
        <v>0.55500000000000005</v>
      </c>
    </row>
    <row r="31" spans="1:18" x14ac:dyDescent="0.25">
      <c r="A31" s="4">
        <v>3.07582681647618E-2</v>
      </c>
      <c r="B31" s="4">
        <v>3.8220813143448299E-3</v>
      </c>
      <c r="C31" s="3">
        <v>8.0475179974119104</v>
      </c>
      <c r="D31" s="4">
        <v>1.01662546881553E-15</v>
      </c>
      <c r="E31" t="s">
        <v>21</v>
      </c>
      <c r="F31">
        <v>4226.6359372228399</v>
      </c>
      <c r="G31">
        <v>1.8354922974574799E-2</v>
      </c>
      <c r="H31">
        <v>1.80240921514483E-2</v>
      </c>
      <c r="I31" s="3">
        <v>1.0480864205556499E-3</v>
      </c>
      <c r="J31" s="6">
        <v>0.99999999513557203</v>
      </c>
      <c r="K31" t="s">
        <v>17</v>
      </c>
      <c r="L31" t="s">
        <v>33</v>
      </c>
      <c r="O31" t="str">
        <f t="shared" si="1"/>
        <v>0.031 (0.004)</v>
      </c>
      <c r="P31" s="3">
        <f t="shared" si="2"/>
        <v>8.048</v>
      </c>
      <c r="Q31" s="4" t="str">
        <f t="shared" si="3"/>
        <v>&lt;0.001</v>
      </c>
      <c r="R31" s="4">
        <f t="shared" si="0"/>
        <v>1.7999999999999999E-2</v>
      </c>
    </row>
    <row r="32" spans="1:18" x14ac:dyDescent="0.25">
      <c r="A32" s="4">
        <v>-0.167616960205413</v>
      </c>
      <c r="B32" s="4">
        <v>1.8596153166700002E-2</v>
      </c>
      <c r="C32" s="3">
        <v>-9.0135286961157099</v>
      </c>
      <c r="D32" s="4">
        <v>2.6636286144981602E-19</v>
      </c>
      <c r="E32" t="s">
        <v>22</v>
      </c>
      <c r="F32">
        <v>4133.7521090402297</v>
      </c>
      <c r="G32">
        <v>1.1800778844794999E-2</v>
      </c>
      <c r="H32">
        <v>1.16631446540971E-2</v>
      </c>
      <c r="I32" s="3">
        <v>1.31480961800001E-3</v>
      </c>
      <c r="J32" s="6">
        <v>0.99994541717816199</v>
      </c>
      <c r="K32" t="s">
        <v>17</v>
      </c>
      <c r="L32" t="s">
        <v>33</v>
      </c>
      <c r="O32" t="str">
        <f t="shared" si="1"/>
        <v>-0.168 (0.019)</v>
      </c>
      <c r="P32" s="3">
        <f t="shared" si="2"/>
        <v>-9.0139999999999993</v>
      </c>
      <c r="Q32" s="4" t="str">
        <f t="shared" si="3"/>
        <v>&lt;0.001</v>
      </c>
      <c r="R32" s="4">
        <f t="shared" si="0"/>
        <v>1.2E-2</v>
      </c>
    </row>
    <row r="33" spans="1:18" x14ac:dyDescent="0.25">
      <c r="P33" s="3"/>
      <c r="Q33" s="4"/>
      <c r="R33" s="4" t="str">
        <f t="shared" si="0"/>
        <v>&lt;0.001</v>
      </c>
    </row>
    <row r="34" spans="1:18" x14ac:dyDescent="0.25">
      <c r="A34" s="4">
        <v>0.47613076930716702</v>
      </c>
      <c r="B34" s="4">
        <v>4.04495548240651E-3</v>
      </c>
      <c r="C34" s="3">
        <v>117.70976748151899</v>
      </c>
      <c r="D34" s="4">
        <v>0</v>
      </c>
      <c r="E34" t="s">
        <v>24</v>
      </c>
      <c r="F34">
        <v>2.2329594477998098</v>
      </c>
      <c r="G34">
        <v>1.4807532257514799</v>
      </c>
      <c r="H34">
        <v>0.59689662413032796</v>
      </c>
      <c r="I34" s="3">
        <v>0.22423230667656899</v>
      </c>
      <c r="J34" s="6">
        <v>1</v>
      </c>
      <c r="K34" t="s">
        <v>17</v>
      </c>
      <c r="L34" t="s">
        <v>33</v>
      </c>
      <c r="O34" t="str">
        <f t="shared" si="1"/>
        <v>0.476 (0.004)</v>
      </c>
      <c r="P34" s="3">
        <f t="shared" si="2"/>
        <v>117.71</v>
      </c>
      <c r="Q34" s="4" t="str">
        <f t="shared" si="3"/>
        <v>&lt;0.001</v>
      </c>
      <c r="R34" s="4">
        <f t="shared" si="0"/>
        <v>0.59699999999999998</v>
      </c>
    </row>
    <row r="35" spans="1:18" x14ac:dyDescent="0.25">
      <c r="A35" s="4">
        <v>0.50890265915617805</v>
      </c>
      <c r="B35" s="4">
        <v>4.0449554824065204E-3</v>
      </c>
      <c r="C35" s="3">
        <v>125.81168355737</v>
      </c>
      <c r="D35" s="4">
        <v>0</v>
      </c>
      <c r="E35" t="s">
        <v>25</v>
      </c>
      <c r="F35">
        <v>2.23295944779982</v>
      </c>
      <c r="G35">
        <v>5.9043696862635597</v>
      </c>
      <c r="H35">
        <v>0.85516418653109905</v>
      </c>
      <c r="I35" s="3">
        <v>0.25616224972941898</v>
      </c>
      <c r="J35" s="6">
        <v>1</v>
      </c>
      <c r="K35" t="s">
        <v>17</v>
      </c>
      <c r="L35" t="s">
        <v>33</v>
      </c>
      <c r="O35" t="str">
        <f t="shared" si="1"/>
        <v>0.509 (0.004)</v>
      </c>
      <c r="P35" s="3">
        <f t="shared" si="2"/>
        <v>125.812</v>
      </c>
      <c r="Q35" s="4" t="str">
        <f t="shared" si="3"/>
        <v>&lt;0.001</v>
      </c>
      <c r="R35" s="4">
        <f t="shared" si="0"/>
        <v>0.85499999999999998</v>
      </c>
    </row>
    <row r="36" spans="1:18" x14ac:dyDescent="0.25">
      <c r="P36" s="3"/>
      <c r="Q36" s="4"/>
      <c r="R36" s="4" t="str">
        <f t="shared" si="0"/>
        <v>&lt;0.001</v>
      </c>
    </row>
    <row r="37" spans="1:18" x14ac:dyDescent="0.25">
      <c r="A37" s="4">
        <v>-2.29547118702354E-2</v>
      </c>
      <c r="B37" s="4">
        <v>1.0958373682424499E-2</v>
      </c>
      <c r="C37" s="3">
        <v>-2.0947188456486998</v>
      </c>
      <c r="D37" s="4">
        <v>3.6239283011574502E-2</v>
      </c>
      <c r="E37" t="s">
        <v>27</v>
      </c>
      <c r="F37">
        <v>3.0881891717434402</v>
      </c>
      <c r="G37">
        <v>6.1106334379395599E-4</v>
      </c>
      <c r="H37">
        <v>6.1069017341456699E-4</v>
      </c>
      <c r="I37" s="3">
        <v>7.1010841765195605E-5</v>
      </c>
      <c r="J37" s="6">
        <v>0.13236042513020699</v>
      </c>
      <c r="K37" t="s">
        <v>17</v>
      </c>
      <c r="L37" t="s">
        <v>33</v>
      </c>
      <c r="O37" t="str">
        <f t="shared" si="1"/>
        <v>-0.023 (0.011)</v>
      </c>
      <c r="P37" s="3">
        <f t="shared" si="2"/>
        <v>-2.0950000000000002</v>
      </c>
      <c r="Q37" s="4">
        <f t="shared" si="3"/>
        <v>3.5999999999999997E-2</v>
      </c>
      <c r="R37" s="4" t="str">
        <f t="shared" si="0"/>
        <v>&lt;0.001</v>
      </c>
    </row>
    <row r="38" spans="1:18" x14ac:dyDescent="0.25">
      <c r="A38" s="4">
        <v>4.8829018085691997E-2</v>
      </c>
      <c r="B38" s="4">
        <v>9.3077117705910196E-3</v>
      </c>
      <c r="C38" s="3">
        <v>5.2460818823348001</v>
      </c>
      <c r="D38" s="4">
        <v>1.60884394916604E-7</v>
      </c>
      <c r="E38" t="s">
        <v>28</v>
      </c>
      <c r="F38">
        <v>3.10997857479714</v>
      </c>
      <c r="G38">
        <v>7.7688530823012501E-3</v>
      </c>
      <c r="H38">
        <v>7.7089632791685399E-3</v>
      </c>
      <c r="I38" s="3">
        <v>4.4539292155831899E-4</v>
      </c>
      <c r="J38" s="6">
        <v>0.99361569412391104</v>
      </c>
      <c r="K38" t="s">
        <v>17</v>
      </c>
      <c r="L38" t="s">
        <v>33</v>
      </c>
      <c r="O38" t="str">
        <f t="shared" si="1"/>
        <v>0.049 (0.009)</v>
      </c>
      <c r="P38" s="3">
        <f t="shared" si="2"/>
        <v>5.2460000000000004</v>
      </c>
      <c r="Q38" s="4" t="str">
        <f t="shared" si="3"/>
        <v>&lt;0.001</v>
      </c>
      <c r="R38" s="4">
        <f t="shared" si="0"/>
        <v>8.0000000000000002E-3</v>
      </c>
    </row>
    <row r="39" spans="1:18" x14ac:dyDescent="0.25">
      <c r="A39" s="4">
        <v>9.0958784316590394E-2</v>
      </c>
      <c r="B39" s="4">
        <v>9.3035476789274704E-3</v>
      </c>
      <c r="C39" s="3">
        <v>9.7767848841804703</v>
      </c>
      <c r="D39" s="4">
        <v>2.1083819148350901E-22</v>
      </c>
      <c r="E39" t="s">
        <v>29</v>
      </c>
      <c r="F39">
        <v>3.1071965077686898</v>
      </c>
      <c r="G39">
        <v>2.9202358014955701E-2</v>
      </c>
      <c r="H39">
        <v>2.83737768258507E-2</v>
      </c>
      <c r="I39" s="3">
        <v>1.5469109018593199E-3</v>
      </c>
      <c r="J39" s="6">
        <v>1</v>
      </c>
      <c r="K39" t="s">
        <v>17</v>
      </c>
      <c r="L39" t="s">
        <v>33</v>
      </c>
      <c r="O39" t="str">
        <f t="shared" si="1"/>
        <v>0.091 (0.009)</v>
      </c>
      <c r="P39" s="3">
        <f t="shared" si="2"/>
        <v>9.7769999999999992</v>
      </c>
      <c r="Q39" s="4" t="str">
        <f t="shared" si="3"/>
        <v>&lt;0.001</v>
      </c>
      <c r="R39" s="4">
        <f t="shared" si="0"/>
        <v>2.8000000000000001E-2</v>
      </c>
    </row>
    <row r="40" spans="1:18" x14ac:dyDescent="0.25">
      <c r="A40" s="4">
        <v>-3.7049788427150197E-2</v>
      </c>
      <c r="B40" s="4">
        <v>7.2287167001039198E-3</v>
      </c>
      <c r="C40" s="3">
        <v>-5.1253617985357698</v>
      </c>
      <c r="D40" s="4">
        <v>3.0659067107334802E-7</v>
      </c>
      <c r="E40" t="s">
        <v>30</v>
      </c>
      <c r="F40">
        <v>3.1738035856678399</v>
      </c>
      <c r="G40">
        <v>0.128023733605199</v>
      </c>
      <c r="H40">
        <v>0.113493829776108</v>
      </c>
      <c r="I40" s="3">
        <v>4.2513047312930902E-4</v>
      </c>
      <c r="J40" s="6">
        <v>1</v>
      </c>
      <c r="K40" t="s">
        <v>17</v>
      </c>
      <c r="L40" t="s">
        <v>33</v>
      </c>
      <c r="O40" t="str">
        <f t="shared" si="1"/>
        <v>-0.037 (0.007)</v>
      </c>
      <c r="P40" s="3">
        <f t="shared" si="2"/>
        <v>-5.125</v>
      </c>
      <c r="Q40" s="4" t="str">
        <f t="shared" si="3"/>
        <v>&lt;0.001</v>
      </c>
      <c r="R40" s="4">
        <f t="shared" si="0"/>
        <v>0.113</v>
      </c>
    </row>
    <row r="41" spans="1:18" x14ac:dyDescent="0.25">
      <c r="A41" s="4">
        <v>-4.0535631421073998E-2</v>
      </c>
      <c r="B41" s="4">
        <v>9.8035660994214603E-3</v>
      </c>
      <c r="C41" s="3">
        <v>-4.1347843233765902</v>
      </c>
      <c r="D41" s="4">
        <v>3.6030485101583603E-5</v>
      </c>
      <c r="E41" t="s">
        <v>31</v>
      </c>
      <c r="F41">
        <v>3.1014813193697002</v>
      </c>
      <c r="G41">
        <v>7.6886607076337293E-2</v>
      </c>
      <c r="H41">
        <v>7.1397124424342498E-2</v>
      </c>
      <c r="I41" s="3">
        <v>2.7668072367859102E-4</v>
      </c>
      <c r="J41" s="6">
        <v>1</v>
      </c>
      <c r="K41" t="s">
        <v>17</v>
      </c>
      <c r="L41" t="s">
        <v>33</v>
      </c>
      <c r="O41" t="str">
        <f t="shared" si="1"/>
        <v>-0.041 (0.01)</v>
      </c>
      <c r="P41" s="3">
        <f t="shared" si="2"/>
        <v>-4.1349999999999998</v>
      </c>
      <c r="Q41" s="4" t="str">
        <f t="shared" si="3"/>
        <v>&lt;0.001</v>
      </c>
      <c r="R41" s="4">
        <f t="shared" si="0"/>
        <v>7.0999999999999994E-2</v>
      </c>
    </row>
    <row r="42" spans="1:18" x14ac:dyDescent="0.25">
      <c r="A42" s="4">
        <v>-7.4262565697063201E-2</v>
      </c>
      <c r="B42" s="4">
        <v>8.9797658177687995E-3</v>
      </c>
      <c r="C42" s="3">
        <v>-8.2699891293507193</v>
      </c>
      <c r="D42" s="4">
        <v>1.6460792608799901E-16</v>
      </c>
      <c r="E42" t="s">
        <v>32</v>
      </c>
      <c r="F42">
        <v>3.1166976881522701</v>
      </c>
      <c r="G42">
        <v>6.0668670494569199E-2</v>
      </c>
      <c r="H42">
        <v>5.7198512770515297E-2</v>
      </c>
      <c r="I42" s="3">
        <v>1.10683544461132E-3</v>
      </c>
      <c r="J42" s="6">
        <v>1</v>
      </c>
      <c r="K42" t="s">
        <v>17</v>
      </c>
      <c r="L42" t="s">
        <v>33</v>
      </c>
      <c r="O42" t="str">
        <f t="shared" si="1"/>
        <v>-0.074 (0.009)</v>
      </c>
      <c r="P42" s="3">
        <f t="shared" si="2"/>
        <v>-8.27</v>
      </c>
      <c r="Q42" s="4" t="str">
        <f t="shared" si="3"/>
        <v>&lt;0.001</v>
      </c>
      <c r="R42" s="4">
        <f t="shared" si="0"/>
        <v>5.7000000000000002E-2</v>
      </c>
    </row>
    <row r="43" spans="1:18" x14ac:dyDescent="0.25">
      <c r="P43" s="3"/>
      <c r="Q43" s="4"/>
      <c r="R43" s="4" t="str">
        <f t="shared" si="0"/>
        <v>&lt;0.001</v>
      </c>
    </row>
    <row r="44" spans="1:18" x14ac:dyDescent="0.25">
      <c r="A44" s="4">
        <v>6.6791533398722305E-2</v>
      </c>
      <c r="B44" s="4">
        <v>1.54744233301982E-2</v>
      </c>
      <c r="C44" s="3">
        <v>4.3162534702265303</v>
      </c>
      <c r="D44" s="4">
        <v>1.6134122725054899E-5</v>
      </c>
      <c r="E44" t="s">
        <v>34</v>
      </c>
      <c r="F44">
        <v>2.1153424942919798</v>
      </c>
      <c r="G44" s="1">
        <v>4.40278852750438E-5</v>
      </c>
      <c r="H44" s="1">
        <v>4.4025946905704298E-5</v>
      </c>
      <c r="I44" s="3">
        <v>3.0149982329985602E-4</v>
      </c>
      <c r="J44" s="6">
        <v>5.4494989711862098E-2</v>
      </c>
      <c r="K44" t="s">
        <v>17</v>
      </c>
      <c r="L44" t="s">
        <v>33</v>
      </c>
      <c r="O44" t="str">
        <f t="shared" si="1"/>
        <v>0.067 (0.015)</v>
      </c>
      <c r="P44" s="3">
        <f t="shared" si="2"/>
        <v>4.3159999999999998</v>
      </c>
      <c r="Q44" s="4" t="str">
        <f t="shared" si="3"/>
        <v>&lt;0.001</v>
      </c>
      <c r="R44" s="4" t="str">
        <f t="shared" si="0"/>
        <v>&lt;0.001</v>
      </c>
    </row>
    <row r="45" spans="1:18" x14ac:dyDescent="0.25">
      <c r="A45" s="4">
        <v>3.9790475263085399E-2</v>
      </c>
      <c r="B45" s="4">
        <v>1.3156066072176601E-2</v>
      </c>
      <c r="C45" s="3">
        <v>3.0244964600198498</v>
      </c>
      <c r="D45" s="4">
        <v>2.5013821520669401E-3</v>
      </c>
      <c r="E45" t="s">
        <v>35</v>
      </c>
      <c r="F45">
        <v>2.1629025477943702</v>
      </c>
      <c r="G45">
        <v>1.1148715255112399E-4</v>
      </c>
      <c r="H45">
        <v>1.11474724551502E-4</v>
      </c>
      <c r="I45" s="3">
        <v>1.4804009051361299E-4</v>
      </c>
      <c r="J45" s="6">
        <v>6.18199451501244E-2</v>
      </c>
      <c r="K45" t="s">
        <v>17</v>
      </c>
      <c r="L45" t="s">
        <v>33</v>
      </c>
      <c r="O45" t="str">
        <f t="shared" si="1"/>
        <v>0.04 (0.013)</v>
      </c>
      <c r="P45" s="3">
        <f t="shared" si="2"/>
        <v>3.024</v>
      </c>
      <c r="Q45" s="4">
        <f t="shared" si="3"/>
        <v>3.0000000000000001E-3</v>
      </c>
      <c r="R45" s="4" t="str">
        <f t="shared" si="0"/>
        <v>&lt;0.001</v>
      </c>
    </row>
    <row r="46" spans="1:18" x14ac:dyDescent="0.25">
      <c r="A46" s="4">
        <v>2.3449378304409001E-2</v>
      </c>
      <c r="B46" s="4">
        <v>1.31560660721765E-2</v>
      </c>
      <c r="C46" s="3">
        <v>1.78240046650432</v>
      </c>
      <c r="D46" s="4">
        <v>7.4736261977146806E-2</v>
      </c>
      <c r="E46" t="s">
        <v>36</v>
      </c>
      <c r="F46">
        <v>2.16290254779436</v>
      </c>
      <c r="G46">
        <v>2.3128622886511201E-4</v>
      </c>
      <c r="H46">
        <v>2.31232747914857E-4</v>
      </c>
      <c r="I46" s="3">
        <v>5.14142796268491E-5</v>
      </c>
      <c r="J46" s="6">
        <v>7.6138113565542606E-2</v>
      </c>
      <c r="K46" t="s">
        <v>17</v>
      </c>
      <c r="L46" t="s">
        <v>33</v>
      </c>
      <c r="O46" t="str">
        <f t="shared" si="1"/>
        <v>0.023 (0.013)</v>
      </c>
      <c r="P46" s="3">
        <f t="shared" si="2"/>
        <v>1.782</v>
      </c>
      <c r="Q46" s="4">
        <f t="shared" si="3"/>
        <v>7.4999999999999997E-2</v>
      </c>
      <c r="R46" s="4" t="str">
        <f t="shared" si="0"/>
        <v>&lt;0.001</v>
      </c>
    </row>
    <row r="47" spans="1:18" x14ac:dyDescent="0.25">
      <c r="A47" s="4">
        <v>0.24375188091970601</v>
      </c>
      <c r="B47" s="4">
        <v>1.0205592415513901E-2</v>
      </c>
      <c r="C47" s="3">
        <v>23.884148121491702</v>
      </c>
      <c r="D47" s="4">
        <v>2.4696918696809701E-120</v>
      </c>
      <c r="E47" t="s">
        <v>37</v>
      </c>
      <c r="F47">
        <v>2.2847202126226702</v>
      </c>
      <c r="G47">
        <v>1.9853011435735202E-2</v>
      </c>
      <c r="H47">
        <v>1.9466541955675001E-2</v>
      </c>
      <c r="I47" s="3">
        <v>9.2319340344713102E-3</v>
      </c>
      <c r="J47" s="6">
        <v>0.99999999952715601</v>
      </c>
      <c r="K47" t="s">
        <v>17</v>
      </c>
      <c r="L47" t="s">
        <v>33</v>
      </c>
      <c r="O47" t="str">
        <f t="shared" si="1"/>
        <v>0.244 (0.01)</v>
      </c>
      <c r="P47" s="3">
        <f t="shared" si="2"/>
        <v>23.884</v>
      </c>
      <c r="Q47" s="4" t="str">
        <f t="shared" si="3"/>
        <v>&lt;0.001</v>
      </c>
      <c r="R47" s="4">
        <f t="shared" si="0"/>
        <v>1.9E-2</v>
      </c>
    </row>
    <row r="48" spans="1:18" x14ac:dyDescent="0.25">
      <c r="A48" s="4">
        <v>0.24527445967432299</v>
      </c>
      <c r="B48" s="4">
        <v>1.38544782741373E-2</v>
      </c>
      <c r="C48" s="3">
        <v>17.7036229601072</v>
      </c>
      <c r="D48" s="4">
        <v>2.4086275587247898E-68</v>
      </c>
      <c r="E48" t="s">
        <v>38</v>
      </c>
      <c r="F48">
        <v>2.1458166916264698</v>
      </c>
      <c r="G48">
        <v>1.28615345161912E-2</v>
      </c>
      <c r="H48">
        <v>1.26982159731584E-2</v>
      </c>
      <c r="I48" s="3">
        <v>5.0722130175471199E-3</v>
      </c>
      <c r="J48" s="6">
        <v>0.99998648622511799</v>
      </c>
      <c r="K48" t="s">
        <v>17</v>
      </c>
      <c r="L48" t="s">
        <v>33</v>
      </c>
      <c r="O48" t="str">
        <f t="shared" si="1"/>
        <v>0.245 (0.014)</v>
      </c>
      <c r="P48" s="3">
        <f t="shared" si="2"/>
        <v>17.704000000000001</v>
      </c>
      <c r="Q48" s="4" t="str">
        <f t="shared" si="3"/>
        <v>&lt;0.001</v>
      </c>
      <c r="R48" s="4">
        <f t="shared" si="0"/>
        <v>1.2999999999999999E-2</v>
      </c>
    </row>
    <row r="49" spans="1:18" x14ac:dyDescent="0.25">
      <c r="A49" s="4">
        <v>0.24009978965466999</v>
      </c>
      <c r="B49" s="4">
        <v>1.26932535012328E-2</v>
      </c>
      <c r="C49" s="3">
        <v>18.915543570555101</v>
      </c>
      <c r="D49" s="4">
        <v>1.75839860111132E-77</v>
      </c>
      <c r="E49" t="s">
        <v>39</v>
      </c>
      <c r="F49">
        <v>2.17597735438757</v>
      </c>
      <c r="G49">
        <v>1.5072702211995401E-2</v>
      </c>
      <c r="H49">
        <v>1.4848889325020501E-2</v>
      </c>
      <c r="I49" s="3">
        <v>5.7904302276125001E-3</v>
      </c>
      <c r="J49" s="6">
        <v>0.99999936793114597</v>
      </c>
      <c r="K49" t="s">
        <v>17</v>
      </c>
      <c r="L49" t="s">
        <v>33</v>
      </c>
      <c r="O49" t="str">
        <f t="shared" si="1"/>
        <v>0.24 (0.013)</v>
      </c>
      <c r="P49" s="3">
        <f t="shared" si="2"/>
        <v>18.916</v>
      </c>
      <c r="Q49" s="4" t="str">
        <f t="shared" si="3"/>
        <v>&lt;0.001</v>
      </c>
      <c r="R49" s="4">
        <f t="shared" si="0"/>
        <v>1.4999999999999999E-2</v>
      </c>
    </row>
    <row r="50" spans="1:18" x14ac:dyDescent="0.25">
      <c r="A50" s="4">
        <v>8.8093251573241493E-2</v>
      </c>
      <c r="B50" s="4">
        <v>1.5474423330198101E-2</v>
      </c>
      <c r="C50" s="3">
        <v>5.6928293671098498</v>
      </c>
      <c r="D50" s="4">
        <v>1.31078339653243E-8</v>
      </c>
      <c r="E50" t="s">
        <v>40</v>
      </c>
      <c r="F50">
        <v>2.11534249429201</v>
      </c>
      <c r="G50">
        <v>2.8198016201214001E-4</v>
      </c>
      <c r="H50">
        <v>2.8190067161508703E-4</v>
      </c>
      <c r="I50" s="3">
        <v>5.2448070351140995E-4</v>
      </c>
      <c r="J50" s="6">
        <v>8.2700319570405106E-2</v>
      </c>
      <c r="K50" t="s">
        <v>17</v>
      </c>
      <c r="L50" t="s">
        <v>33</v>
      </c>
      <c r="O50" t="str">
        <f t="shared" si="1"/>
        <v>0.088 (0.015)</v>
      </c>
      <c r="P50" s="3">
        <f t="shared" si="2"/>
        <v>5.6929999999999996</v>
      </c>
      <c r="Q50" s="4" t="str">
        <f t="shared" si="3"/>
        <v>&lt;0.001</v>
      </c>
      <c r="R50" s="4" t="str">
        <f t="shared" si="0"/>
        <v>&lt;0.001</v>
      </c>
    </row>
    <row r="51" spans="1:18" x14ac:dyDescent="0.25">
      <c r="A51" s="4">
        <v>3.7579419860359002E-2</v>
      </c>
      <c r="B51" s="4">
        <v>1.31560660721767E-2</v>
      </c>
      <c r="C51" s="3">
        <v>2.8564328921876099</v>
      </c>
      <c r="D51" s="4">
        <v>4.2995431746802202E-3</v>
      </c>
      <c r="E51" t="s">
        <v>41</v>
      </c>
      <c r="F51">
        <v>2.1629025477943999</v>
      </c>
      <c r="G51">
        <v>1.13012088141776E-3</v>
      </c>
      <c r="H51">
        <v>1.1288451499419201E-3</v>
      </c>
      <c r="I51" s="3">
        <v>1.3204477827844001E-4</v>
      </c>
      <c r="J51" s="6">
        <v>0.23243172962391501</v>
      </c>
      <c r="K51" t="s">
        <v>17</v>
      </c>
      <c r="L51" t="s">
        <v>33</v>
      </c>
      <c r="O51" t="str">
        <f t="shared" si="1"/>
        <v>0.038 (0.013)</v>
      </c>
      <c r="P51" s="3">
        <f t="shared" si="2"/>
        <v>2.8559999999999999</v>
      </c>
      <c r="Q51" s="4">
        <f t="shared" si="3"/>
        <v>4.0000000000000001E-3</v>
      </c>
      <c r="R51" s="4">
        <f t="shared" si="0"/>
        <v>1E-3</v>
      </c>
    </row>
    <row r="52" spans="1:18" x14ac:dyDescent="0.25">
      <c r="A52" s="4">
        <v>1.1084524381021201E-2</v>
      </c>
      <c r="B52" s="4">
        <v>1.3156066072176601E-2</v>
      </c>
      <c r="C52" s="3">
        <v>0.84254094804704605</v>
      </c>
      <c r="D52" s="4">
        <v>0.39951998235611602</v>
      </c>
      <c r="E52" t="s">
        <v>42</v>
      </c>
      <c r="F52">
        <v>2.16290254779438</v>
      </c>
      <c r="G52">
        <v>4.2077494701557704E-3</v>
      </c>
      <c r="H52">
        <v>4.1901185012522303E-3</v>
      </c>
      <c r="I52" s="3">
        <v>1.14882853716747E-5</v>
      </c>
      <c r="J52" s="6">
        <v>0.84183635946816304</v>
      </c>
      <c r="K52" t="s">
        <v>17</v>
      </c>
      <c r="L52" t="s">
        <v>33</v>
      </c>
      <c r="O52" t="str">
        <f t="shared" si="1"/>
        <v>0.011 (0.013)</v>
      </c>
      <c r="P52" s="3">
        <f t="shared" si="2"/>
        <v>0.84299999999999997</v>
      </c>
      <c r="Q52" s="4">
        <f t="shared" si="3"/>
        <v>0.4</v>
      </c>
      <c r="R52" s="4">
        <f t="shared" si="0"/>
        <v>4.0000000000000001E-3</v>
      </c>
    </row>
    <row r="53" spans="1:18" x14ac:dyDescent="0.25">
      <c r="A53" s="4">
        <v>0.26360798662161899</v>
      </c>
      <c r="B53" s="4">
        <v>1.0205592415513901E-2</v>
      </c>
      <c r="C53" s="3">
        <v>25.829758419599401</v>
      </c>
      <c r="D53" s="4">
        <v>2.4199982779291999E-139</v>
      </c>
      <c r="E53" t="s">
        <v>43</v>
      </c>
      <c r="F53">
        <v>2.28472021262264</v>
      </c>
      <c r="G53">
        <v>8.0516613151071295E-2</v>
      </c>
      <c r="H53">
        <v>7.4516774819651896E-2</v>
      </c>
      <c r="I53" s="3">
        <v>1.07972677110417E-2</v>
      </c>
      <c r="J53" s="6">
        <v>1</v>
      </c>
      <c r="K53" t="s">
        <v>17</v>
      </c>
      <c r="L53" t="s">
        <v>33</v>
      </c>
      <c r="O53" t="str">
        <f t="shared" si="1"/>
        <v>0.264 (0.01)</v>
      </c>
      <c r="P53" s="3">
        <f t="shared" si="2"/>
        <v>25.83</v>
      </c>
      <c r="Q53" s="4" t="str">
        <f t="shared" si="3"/>
        <v>&lt;0.001</v>
      </c>
      <c r="R53" s="4">
        <f t="shared" si="0"/>
        <v>7.4999999999999997E-2</v>
      </c>
    </row>
    <row r="54" spans="1:18" x14ac:dyDescent="0.25">
      <c r="A54" s="4">
        <v>0.26335422351050097</v>
      </c>
      <c r="B54" s="4">
        <v>1.38544782741373E-2</v>
      </c>
      <c r="C54" s="3">
        <v>19.008599118605201</v>
      </c>
      <c r="D54" s="4">
        <v>3.3231252266814201E-78</v>
      </c>
      <c r="E54" t="s">
        <v>44</v>
      </c>
      <c r="F54">
        <v>2.14581669162646</v>
      </c>
      <c r="G54">
        <v>5.0252241750803998E-2</v>
      </c>
      <c r="H54">
        <v>4.7847783373479801E-2</v>
      </c>
      <c r="I54" s="3">
        <v>5.8475427345834304E-3</v>
      </c>
      <c r="J54" s="6">
        <v>1</v>
      </c>
      <c r="K54" t="s">
        <v>17</v>
      </c>
      <c r="L54" t="s">
        <v>33</v>
      </c>
      <c r="O54" t="str">
        <f t="shared" si="1"/>
        <v>0.263 (0.014)</v>
      </c>
      <c r="P54" s="3">
        <f t="shared" si="2"/>
        <v>19.009</v>
      </c>
      <c r="Q54" s="4" t="str">
        <f t="shared" si="3"/>
        <v>&lt;0.001</v>
      </c>
      <c r="R54" s="4">
        <f t="shared" si="0"/>
        <v>4.8000000000000001E-2</v>
      </c>
    </row>
    <row r="55" spans="1:18" x14ac:dyDescent="0.25">
      <c r="A55" s="4">
        <v>0.27467288082093</v>
      </c>
      <c r="B55" s="4">
        <v>1.26932535012329E-2</v>
      </c>
      <c r="C55" s="3">
        <v>21.639281118450199</v>
      </c>
      <c r="D55" s="4">
        <v>6.2961690974480799E-100</v>
      </c>
      <c r="E55" t="s">
        <v>45</v>
      </c>
      <c r="F55">
        <v>2.1759773543875802</v>
      </c>
      <c r="G55">
        <v>8.0762070942275693E-2</v>
      </c>
      <c r="H55">
        <v>7.4726966382029206E-2</v>
      </c>
      <c r="I55" s="3">
        <v>7.5780739455459899E-3</v>
      </c>
      <c r="J55" s="6">
        <v>1</v>
      </c>
      <c r="K55" t="s">
        <v>17</v>
      </c>
      <c r="L55" t="s">
        <v>33</v>
      </c>
      <c r="O55" t="str">
        <f t="shared" si="1"/>
        <v>0.275 (0.013)</v>
      </c>
      <c r="P55" s="3">
        <f t="shared" si="2"/>
        <v>21.638999999999999</v>
      </c>
      <c r="Q55" s="4" t="str">
        <f t="shared" si="3"/>
        <v>&lt;0.001</v>
      </c>
      <c r="R55" s="4">
        <f t="shared" si="0"/>
        <v>7.4999999999999997E-2</v>
      </c>
    </row>
    <row r="56" spans="1:18" hidden="1" x14ac:dyDescent="0.25">
      <c r="A56">
        <v>-6.8095563547329402E-2</v>
      </c>
      <c r="B56">
        <v>1.0045607645546401E-2</v>
      </c>
      <c r="C56">
        <v>-6.77864057108766</v>
      </c>
      <c r="D56" s="1">
        <v>1.3309195295276201E-11</v>
      </c>
      <c r="E56" t="s">
        <v>14</v>
      </c>
      <c r="F56" t="s">
        <v>15</v>
      </c>
      <c r="G56" t="s">
        <v>15</v>
      </c>
      <c r="H56" t="s">
        <v>15</v>
      </c>
      <c r="I56" t="s">
        <v>15</v>
      </c>
      <c r="J56" s="2" t="s">
        <v>16</v>
      </c>
      <c r="K56" t="s">
        <v>46</v>
      </c>
      <c r="L56" t="s">
        <v>18</v>
      </c>
      <c r="R56"/>
    </row>
    <row r="57" spans="1:18" hidden="1" x14ac:dyDescent="0.25">
      <c r="A57" s="1">
        <v>8.9811936511395395E-5</v>
      </c>
      <c r="B57" s="1">
        <v>8.0043981408782101E-6</v>
      </c>
      <c r="C57">
        <v>11.220323493496499</v>
      </c>
      <c r="D57" s="1">
        <v>6.3427093511477502E-29</v>
      </c>
      <c r="E57" t="s">
        <v>19</v>
      </c>
      <c r="F57">
        <v>252.32201768879901</v>
      </c>
      <c r="G57">
        <v>0.24479612098610101</v>
      </c>
      <c r="H57">
        <v>0.19665559432509999</v>
      </c>
      <c r="I57">
        <v>9.7286253699112608E-3</v>
      </c>
      <c r="J57">
        <v>1</v>
      </c>
      <c r="K57" t="s">
        <v>46</v>
      </c>
      <c r="L57" t="s">
        <v>18</v>
      </c>
      <c r="R57"/>
    </row>
    <row r="58" spans="1:18" hidden="1" x14ac:dyDescent="0.25">
      <c r="A58">
        <v>0.14058206501071299</v>
      </c>
      <c r="B58">
        <v>2.5352592954192E-2</v>
      </c>
      <c r="C58">
        <v>5.5450764055858697</v>
      </c>
      <c r="D58" s="1">
        <v>3.06554595094088E-8</v>
      </c>
      <c r="E58" t="s">
        <v>20</v>
      </c>
      <c r="F58">
        <v>185.270509424274</v>
      </c>
      <c r="G58">
        <v>0.84968573815070703</v>
      </c>
      <c r="H58">
        <v>0.45936762155078997</v>
      </c>
      <c r="I58">
        <v>2.37605118890494E-3</v>
      </c>
      <c r="J58">
        <v>1</v>
      </c>
      <c r="K58" t="s">
        <v>46</v>
      </c>
      <c r="L58" t="s">
        <v>18</v>
      </c>
      <c r="R58"/>
    </row>
    <row r="59" spans="1:18" hidden="1" x14ac:dyDescent="0.25">
      <c r="A59">
        <v>-3.5574828943547201E-2</v>
      </c>
      <c r="B59">
        <v>4.35067499589974E-3</v>
      </c>
      <c r="C59">
        <v>-8.1768527819417507</v>
      </c>
      <c r="D59" s="1">
        <v>3.5346362546289699E-16</v>
      </c>
      <c r="E59" t="s">
        <v>21</v>
      </c>
      <c r="F59">
        <v>4863.0807564733796</v>
      </c>
      <c r="G59">
        <v>8.8774543416160201E-2</v>
      </c>
      <c r="H59">
        <v>8.15362041232333E-2</v>
      </c>
      <c r="I59">
        <v>5.1666980417105499E-3</v>
      </c>
      <c r="J59">
        <v>1</v>
      </c>
      <c r="K59" t="s">
        <v>46</v>
      </c>
      <c r="L59" t="s">
        <v>18</v>
      </c>
      <c r="R59"/>
    </row>
    <row r="60" spans="1:18" hidden="1" x14ac:dyDescent="0.25">
      <c r="A60">
        <v>0.126510664363294</v>
      </c>
      <c r="B60">
        <v>2.1228199041685901E-2</v>
      </c>
      <c r="C60">
        <v>5.95955710208219</v>
      </c>
      <c r="D60" s="1">
        <v>2.6751647310662502E-9</v>
      </c>
      <c r="E60" t="s">
        <v>22</v>
      </c>
      <c r="F60">
        <v>4537.7901643361802</v>
      </c>
      <c r="G60">
        <v>6.0085130862761503E-3</v>
      </c>
      <c r="H60">
        <v>5.9726264819002098E-3</v>
      </c>
      <c r="I60">
        <v>2.7445344980198101E-3</v>
      </c>
      <c r="J60">
        <v>0.99937487321013196</v>
      </c>
      <c r="K60" t="s">
        <v>46</v>
      </c>
      <c r="L60" t="s">
        <v>18</v>
      </c>
      <c r="R60"/>
    </row>
    <row r="61" spans="1:18" hidden="1" x14ac:dyDescent="0.25">
      <c r="A61">
        <v>-7.1360571927991404E-2</v>
      </c>
      <c r="B61">
        <v>1.00551797529548E-2</v>
      </c>
      <c r="C61">
        <v>-7.0968966921771397</v>
      </c>
      <c r="D61" s="1">
        <v>1.4255715305812899E-12</v>
      </c>
      <c r="E61" t="s">
        <v>14</v>
      </c>
      <c r="F61" t="s">
        <v>15</v>
      </c>
      <c r="G61" t="s">
        <v>15</v>
      </c>
      <c r="H61" t="s">
        <v>15</v>
      </c>
      <c r="I61" t="s">
        <v>15</v>
      </c>
      <c r="J61" s="2" t="s">
        <v>16</v>
      </c>
      <c r="K61" t="s">
        <v>46</v>
      </c>
      <c r="L61" t="s">
        <v>23</v>
      </c>
      <c r="R61"/>
    </row>
    <row r="62" spans="1:18" hidden="1" x14ac:dyDescent="0.25">
      <c r="A62" s="1">
        <v>8.9811936511394405E-5</v>
      </c>
      <c r="B62" s="1">
        <v>7.8444346059029997E-6</v>
      </c>
      <c r="C62">
        <v>11.4491280791365</v>
      </c>
      <c r="D62" s="1">
        <v>4.9156125995846198E-30</v>
      </c>
      <c r="E62" t="s">
        <v>19</v>
      </c>
      <c r="F62">
        <v>252.32201768842401</v>
      </c>
      <c r="G62">
        <v>0.25496793824412201</v>
      </c>
      <c r="H62">
        <v>0.203166894128673</v>
      </c>
      <c r="I62">
        <v>9.7286253699110405E-3</v>
      </c>
      <c r="J62">
        <v>1</v>
      </c>
      <c r="K62" t="s">
        <v>46</v>
      </c>
      <c r="L62" t="s">
        <v>23</v>
      </c>
      <c r="R62"/>
    </row>
    <row r="63" spans="1:18" hidden="1" x14ac:dyDescent="0.25">
      <c r="A63">
        <v>0.14058206501071599</v>
      </c>
      <c r="B63">
        <v>2.48459351994973E-2</v>
      </c>
      <c r="C63">
        <v>5.6581514795852996</v>
      </c>
      <c r="D63" s="1">
        <v>1.6019504794827998E-8</v>
      </c>
      <c r="E63" t="s">
        <v>20</v>
      </c>
      <c r="F63">
        <v>185.27050942400999</v>
      </c>
      <c r="G63">
        <v>0.88499204946152399</v>
      </c>
      <c r="H63">
        <v>0.46949378365512701</v>
      </c>
      <c r="I63">
        <v>2.37605118890494E-3</v>
      </c>
      <c r="J63">
        <v>1</v>
      </c>
      <c r="K63" t="s">
        <v>46</v>
      </c>
      <c r="L63" t="s">
        <v>23</v>
      </c>
      <c r="R63"/>
    </row>
    <row r="64" spans="1:18" hidden="1" x14ac:dyDescent="0.25">
      <c r="A64">
        <v>-3.5574828943546598E-2</v>
      </c>
      <c r="B64">
        <v>4.2637291269382498E-3</v>
      </c>
      <c r="C64">
        <v>-8.3435949809251895</v>
      </c>
      <c r="D64" s="1">
        <v>8.8840057280140997E-17</v>
      </c>
      <c r="E64" t="s">
        <v>21</v>
      </c>
      <c r="F64">
        <v>4863.0807564644701</v>
      </c>
      <c r="G64">
        <v>9.2463320955428099E-2</v>
      </c>
      <c r="H64">
        <v>8.4637460298953707E-2</v>
      </c>
      <c r="I64">
        <v>5.1666980417103296E-3</v>
      </c>
      <c r="J64">
        <v>1</v>
      </c>
      <c r="K64" t="s">
        <v>46</v>
      </c>
      <c r="L64" t="s">
        <v>23</v>
      </c>
      <c r="R64"/>
    </row>
    <row r="65" spans="1:12" customFormat="1" hidden="1" x14ac:dyDescent="0.25">
      <c r="A65">
        <v>0.126510664363291</v>
      </c>
      <c r="B65">
        <v>2.0803965051809401E-2</v>
      </c>
      <c r="C65">
        <v>6.0810842571708603</v>
      </c>
      <c r="D65" s="1">
        <v>1.26842956357858E-9</v>
      </c>
      <c r="E65" t="s">
        <v>22</v>
      </c>
      <c r="F65">
        <v>4537.7901643278701</v>
      </c>
      <c r="G65">
        <v>6.2581800207840701E-3</v>
      </c>
      <c r="H65">
        <v>6.2192587797445797E-3</v>
      </c>
      <c r="I65">
        <v>2.7445344980195898E-3</v>
      </c>
      <c r="J65">
        <v>0.99892961009477299</v>
      </c>
      <c r="K65" t="s">
        <v>46</v>
      </c>
      <c r="L65" t="s">
        <v>23</v>
      </c>
    </row>
    <row r="66" spans="1:12" customFormat="1" hidden="1" x14ac:dyDescent="0.25">
      <c r="A66">
        <v>-2.2720721659229101E-2</v>
      </c>
      <c r="B66">
        <v>3.5435303731352601E-3</v>
      </c>
      <c r="C66">
        <v>-6.4118885029130404</v>
      </c>
      <c r="D66" s="1">
        <v>1.5486195721099799E-10</v>
      </c>
      <c r="E66" t="s">
        <v>24</v>
      </c>
      <c r="F66">
        <v>1.3333333333333399</v>
      </c>
      <c r="G66">
        <v>2.73026492686647E-2</v>
      </c>
      <c r="H66">
        <v>2.6577026047875402E-2</v>
      </c>
      <c r="I66">
        <v>3.0512555042698799E-3</v>
      </c>
      <c r="J66">
        <v>1</v>
      </c>
      <c r="K66" t="s">
        <v>46</v>
      </c>
      <c r="L66" t="s">
        <v>23</v>
      </c>
    </row>
    <row r="67" spans="1:12" customFormat="1" hidden="1" x14ac:dyDescent="0.25">
      <c r="A67">
        <v>3.2515746801217701E-2</v>
      </c>
      <c r="B67">
        <v>3.5435303731352402E-3</v>
      </c>
      <c r="C67">
        <v>9.1760880752514709</v>
      </c>
      <c r="D67" s="1">
        <v>6.0595898675589701E-20</v>
      </c>
      <c r="E67" t="s">
        <v>25</v>
      </c>
      <c r="F67">
        <v>1.3333333333333399</v>
      </c>
      <c r="G67">
        <v>1.42495502394267E-2</v>
      </c>
      <c r="H67">
        <v>1.4049353274115699E-2</v>
      </c>
      <c r="I67">
        <v>6.2491622298316302E-3</v>
      </c>
      <c r="J67">
        <v>0.99999999929248096</v>
      </c>
      <c r="K67" t="s">
        <v>46</v>
      </c>
      <c r="L67" t="s">
        <v>23</v>
      </c>
    </row>
    <row r="68" spans="1:12" customFormat="1" hidden="1" x14ac:dyDescent="0.25">
      <c r="A68">
        <v>-0.11165942350795199</v>
      </c>
      <c r="B68">
        <v>6.1565317619045202E-3</v>
      </c>
      <c r="C68">
        <v>-18.1367412410474</v>
      </c>
      <c r="D68" s="1">
        <v>1.39412314783781E-71</v>
      </c>
      <c r="E68" t="s">
        <v>14</v>
      </c>
      <c r="F68" t="s">
        <v>15</v>
      </c>
      <c r="G68" t="s">
        <v>15</v>
      </c>
      <c r="H68" t="s">
        <v>15</v>
      </c>
      <c r="I68" t="s">
        <v>15</v>
      </c>
      <c r="J68" s="2" t="s">
        <v>16</v>
      </c>
      <c r="K68" t="s">
        <v>46</v>
      </c>
      <c r="L68" t="s">
        <v>26</v>
      </c>
    </row>
    <row r="69" spans="1:12" customFormat="1" hidden="1" x14ac:dyDescent="0.25">
      <c r="A69" s="1">
        <v>6.9299982571983305E-5</v>
      </c>
      <c r="B69" s="1">
        <v>4.7812629050373396E-6</v>
      </c>
      <c r="C69">
        <v>14.494074881130601</v>
      </c>
      <c r="D69" s="1">
        <v>8.3436065072192701E-47</v>
      </c>
      <c r="E69" t="s">
        <v>19</v>
      </c>
      <c r="F69">
        <v>254.03295089671599</v>
      </c>
      <c r="G69">
        <v>0.69167125544268004</v>
      </c>
      <c r="H69">
        <v>0.40886859856330798</v>
      </c>
      <c r="I69">
        <v>5.7532693267208198E-3</v>
      </c>
      <c r="J69">
        <v>1</v>
      </c>
      <c r="K69" t="s">
        <v>46</v>
      </c>
      <c r="L69" t="s">
        <v>26</v>
      </c>
    </row>
    <row r="70" spans="1:12" customFormat="1" hidden="1" x14ac:dyDescent="0.25">
      <c r="A70">
        <v>0.19359223358948599</v>
      </c>
      <c r="B70">
        <v>1.5125552526893399E-2</v>
      </c>
      <c r="C70">
        <v>12.799018961143901</v>
      </c>
      <c r="D70" s="1">
        <v>5.1376263255707003E-37</v>
      </c>
      <c r="E70" t="s">
        <v>20</v>
      </c>
      <c r="F70">
        <v>186.07629244644301</v>
      </c>
      <c r="G70">
        <v>2.4007864130813101</v>
      </c>
      <c r="H70">
        <v>0.70595036602315098</v>
      </c>
      <c r="I70">
        <v>4.4862871593612796E-3</v>
      </c>
      <c r="J70">
        <v>1</v>
      </c>
      <c r="K70" t="s">
        <v>46</v>
      </c>
      <c r="L70" t="s">
        <v>26</v>
      </c>
    </row>
    <row r="71" spans="1:12" customFormat="1" hidden="1" x14ac:dyDescent="0.25">
      <c r="A71">
        <v>-2.39187449585937E-2</v>
      </c>
      <c r="B71">
        <v>2.5983471528487402E-3</v>
      </c>
      <c r="C71">
        <v>-9.2053692411231403</v>
      </c>
      <c r="D71" s="1">
        <v>4.6346470963394399E-20</v>
      </c>
      <c r="E71" t="s">
        <v>21</v>
      </c>
      <c r="F71">
        <v>4894.4012083061598</v>
      </c>
      <c r="G71">
        <v>0.250832405548993</v>
      </c>
      <c r="H71">
        <v>0.20053238502315801</v>
      </c>
      <c r="I71">
        <v>2.32068465418445E-3</v>
      </c>
      <c r="J71">
        <v>1</v>
      </c>
      <c r="K71" t="s">
        <v>46</v>
      </c>
      <c r="L71" t="s">
        <v>26</v>
      </c>
    </row>
    <row r="72" spans="1:12" customFormat="1" hidden="1" x14ac:dyDescent="0.25">
      <c r="A72">
        <v>7.3343573809262E-2</v>
      </c>
      <c r="B72">
        <v>1.26741674769276E-2</v>
      </c>
      <c r="C72">
        <v>5.7868553451560798</v>
      </c>
      <c r="D72" s="1">
        <v>7.5401505514300704E-9</v>
      </c>
      <c r="E72" t="s">
        <v>22</v>
      </c>
      <c r="F72">
        <v>4564.1931022033596</v>
      </c>
      <c r="G72">
        <v>1.6977049199093999E-2</v>
      </c>
      <c r="H72">
        <v>1.6693640443964802E-2</v>
      </c>
      <c r="I72">
        <v>9.1710477872408702E-4</v>
      </c>
      <c r="J72">
        <v>0.99999999975893406</v>
      </c>
      <c r="K72" t="s">
        <v>46</v>
      </c>
      <c r="L72" t="s">
        <v>26</v>
      </c>
    </row>
    <row r="73" spans="1:12" customFormat="1" hidden="1" x14ac:dyDescent="0.25">
      <c r="A73">
        <v>-2.2720721659229601E-2</v>
      </c>
      <c r="B73">
        <v>2.1525323409853601E-3</v>
      </c>
      <c r="C73">
        <v>-10.5553450819832</v>
      </c>
      <c r="D73" s="1">
        <v>8.1405781271822202E-26</v>
      </c>
      <c r="E73" t="s">
        <v>24</v>
      </c>
      <c r="F73">
        <v>1.3333333333333399</v>
      </c>
      <c r="G73">
        <v>7.4066009344623193E-2</v>
      </c>
      <c r="H73">
        <v>6.8958526478104507E-2</v>
      </c>
      <c r="I73">
        <v>3.0512555042701002E-3</v>
      </c>
      <c r="J73">
        <v>1</v>
      </c>
      <c r="K73" t="s">
        <v>46</v>
      </c>
      <c r="L73" t="s">
        <v>26</v>
      </c>
    </row>
    <row r="74" spans="1:12" customFormat="1" hidden="1" x14ac:dyDescent="0.25">
      <c r="A74">
        <v>3.2515746801217299E-2</v>
      </c>
      <c r="B74">
        <v>2.1525323409853502E-3</v>
      </c>
      <c r="C74">
        <v>15.1058110403734</v>
      </c>
      <c r="D74" s="1">
        <v>1.29712977025049E-50</v>
      </c>
      <c r="E74" t="s">
        <v>25</v>
      </c>
      <c r="F74">
        <v>1.3333333333333399</v>
      </c>
      <c r="G74">
        <v>3.8655857561828197E-2</v>
      </c>
      <c r="H74">
        <v>3.7217194974060099E-2</v>
      </c>
      <c r="I74">
        <v>6.2491622298317404E-3</v>
      </c>
      <c r="J74">
        <v>1</v>
      </c>
      <c r="K74" t="s">
        <v>46</v>
      </c>
      <c r="L74" t="s">
        <v>26</v>
      </c>
    </row>
    <row r="75" spans="1:12" customFormat="1" hidden="1" x14ac:dyDescent="0.25">
      <c r="A75">
        <v>3.9998575670907501E-3</v>
      </c>
      <c r="B75">
        <v>3.9772132817377896E-3</v>
      </c>
      <c r="C75">
        <v>1.00569350541419</v>
      </c>
      <c r="D75">
        <v>0.31460425038991102</v>
      </c>
      <c r="E75" t="s">
        <v>27</v>
      </c>
      <c r="F75">
        <v>1.03259362082776</v>
      </c>
      <c r="G75">
        <v>4.1242941914544501E-2</v>
      </c>
      <c r="H75">
        <v>3.9609336355942701E-2</v>
      </c>
      <c r="I75" s="1">
        <v>2.7699057685848201E-5</v>
      </c>
      <c r="J75">
        <v>1</v>
      </c>
      <c r="K75" t="s">
        <v>46</v>
      </c>
      <c r="L75" t="s">
        <v>26</v>
      </c>
    </row>
    <row r="76" spans="1:12" customFormat="1" hidden="1" x14ac:dyDescent="0.25">
      <c r="A76">
        <v>9.14155680378997E-2</v>
      </c>
      <c r="B76">
        <v>3.7342001815605002E-3</v>
      </c>
      <c r="C76">
        <v>24.480628673660899</v>
      </c>
      <c r="D76" s="1">
        <v>3.8654743378687499E-126</v>
      </c>
      <c r="E76" t="s">
        <v>28</v>
      </c>
      <c r="F76">
        <v>1.0399801238661901</v>
      </c>
      <c r="G76">
        <v>9.3890360865362399E-3</v>
      </c>
      <c r="H76">
        <v>9.3017020701335398E-3</v>
      </c>
      <c r="I76">
        <v>1.6412654852044899E-2</v>
      </c>
      <c r="J76">
        <v>0.99992751763656895</v>
      </c>
      <c r="K76" t="s">
        <v>46</v>
      </c>
      <c r="L76" t="s">
        <v>26</v>
      </c>
    </row>
    <row r="77" spans="1:12" customFormat="1" hidden="1" x14ac:dyDescent="0.25">
      <c r="A77">
        <v>0.16576745123358</v>
      </c>
      <c r="B77">
        <v>3.7266919071707399E-3</v>
      </c>
      <c r="C77">
        <v>44.481125717588</v>
      </c>
      <c r="D77">
        <v>0</v>
      </c>
      <c r="E77" t="s">
        <v>29</v>
      </c>
      <c r="F77">
        <v>1.0358021978820899</v>
      </c>
      <c r="G77">
        <v>0.15053570363934099</v>
      </c>
      <c r="H77">
        <v>0.13083966291804</v>
      </c>
      <c r="I77">
        <v>5.4185769237513302E-2</v>
      </c>
      <c r="J77">
        <v>1</v>
      </c>
      <c r="K77" t="s">
        <v>46</v>
      </c>
      <c r="L77" t="s">
        <v>26</v>
      </c>
    </row>
    <row r="78" spans="1:12" customFormat="1" hidden="1" x14ac:dyDescent="0.25">
      <c r="A78">
        <v>0.210273443832871</v>
      </c>
      <c r="B78">
        <v>2.9068984699279301E-3</v>
      </c>
      <c r="C78">
        <v>72.336012422919097</v>
      </c>
      <c r="D78">
        <v>0</v>
      </c>
      <c r="E78" t="s">
        <v>30</v>
      </c>
      <c r="F78">
        <v>1.06727429069352</v>
      </c>
      <c r="G78">
        <v>0.629952755663579</v>
      </c>
      <c r="H78">
        <v>0.38648528521743297</v>
      </c>
      <c r="I78">
        <v>0.14329889193467399</v>
      </c>
      <c r="J78">
        <v>1</v>
      </c>
      <c r="K78" t="s">
        <v>46</v>
      </c>
      <c r="L78" t="s">
        <v>26</v>
      </c>
    </row>
    <row r="79" spans="1:12" customFormat="1" hidden="1" x14ac:dyDescent="0.25">
      <c r="A79">
        <v>0.21267056951295599</v>
      </c>
      <c r="B79">
        <v>3.93619993008256E-3</v>
      </c>
      <c r="C79">
        <v>54.029412451235899</v>
      </c>
      <c r="D79">
        <v>0</v>
      </c>
      <c r="E79" t="s">
        <v>31</v>
      </c>
      <c r="F79">
        <v>1.0386327694103099</v>
      </c>
      <c r="G79">
        <v>0.41010034811573098</v>
      </c>
      <c r="H79">
        <v>0.29083061263245202</v>
      </c>
      <c r="I79">
        <v>7.9945531324927793E-2</v>
      </c>
      <c r="J79">
        <v>1</v>
      </c>
      <c r="K79" t="s">
        <v>46</v>
      </c>
      <c r="L79" t="s">
        <v>26</v>
      </c>
    </row>
    <row r="80" spans="1:12" customFormat="1" hidden="1" x14ac:dyDescent="0.25">
      <c r="A80">
        <v>0.190434441530862</v>
      </c>
      <c r="B80">
        <v>3.6094596712154198E-3</v>
      </c>
      <c r="C80">
        <v>52.759819717486003</v>
      </c>
      <c r="D80">
        <v>0</v>
      </c>
      <c r="E80" t="s">
        <v>32</v>
      </c>
      <c r="F80">
        <v>1.0462790522163301</v>
      </c>
      <c r="G80">
        <v>0.471556594379405</v>
      </c>
      <c r="H80">
        <v>0.32044747458610201</v>
      </c>
      <c r="I80">
        <v>7.6232525797949396E-2</v>
      </c>
      <c r="J80">
        <v>1</v>
      </c>
      <c r="K80" t="s">
        <v>46</v>
      </c>
      <c r="L80" t="s">
        <v>26</v>
      </c>
    </row>
    <row r="81" spans="1:18" x14ac:dyDescent="0.25">
      <c r="P81" s="3"/>
      <c r="Q81" s="4"/>
      <c r="R81" s="4" t="str">
        <f t="shared" ref="R81:R110" si="4">IF(H81&lt;0.001,"&lt;0.001",ROUND(H81,3))</f>
        <v>&lt;0.001</v>
      </c>
    </row>
    <row r="82" spans="1:18" x14ac:dyDescent="0.25">
      <c r="A82" s="4">
        <v>-0.119019696310193</v>
      </c>
      <c r="B82" s="4">
        <v>6.0838515749111399E-3</v>
      </c>
      <c r="C82" s="3">
        <v>-19.563214987198499</v>
      </c>
      <c r="D82" s="4">
        <v>1.27244474681411E-82</v>
      </c>
      <c r="E82" t="s">
        <v>14</v>
      </c>
      <c r="F82" t="s">
        <v>15</v>
      </c>
      <c r="G82" t="s">
        <v>15</v>
      </c>
      <c r="H82" t="s">
        <v>15</v>
      </c>
      <c r="I82" s="3" t="s">
        <v>15</v>
      </c>
      <c r="J82" s="6" t="s">
        <v>16</v>
      </c>
      <c r="K82" t="s">
        <v>46</v>
      </c>
      <c r="L82" t="s">
        <v>33</v>
      </c>
      <c r="O82" t="str">
        <f>_xlfn.CONCAT(ROUND(A82,3), " (",ROUND(B82,3),")")</f>
        <v>-0.119 (0.006)</v>
      </c>
      <c r="P82" s="3">
        <f>ROUND(C82,3)</f>
        <v>-19.562999999999999</v>
      </c>
      <c r="Q82" s="4" t="str">
        <f>IF(D82&lt;0.001, "&lt;0.001",ROUND(D82,3))</f>
        <v>&lt;0.001</v>
      </c>
      <c r="R82" s="4" t="e">
        <f t="shared" si="4"/>
        <v>#VALUE!</v>
      </c>
    </row>
    <row r="83" spans="1:18" x14ac:dyDescent="0.25">
      <c r="P83" s="3"/>
      <c r="Q83" s="4"/>
    </row>
    <row r="84" spans="1:18" x14ac:dyDescent="0.25">
      <c r="A84" s="4">
        <v>6.9299982571980703E-5</v>
      </c>
      <c r="B84" s="4">
        <v>4.6601835399636198E-6</v>
      </c>
      <c r="C84" s="3">
        <v>14.8706551958084</v>
      </c>
      <c r="D84" s="4">
        <v>3.9430240307560202E-49</v>
      </c>
      <c r="E84" t="s">
        <v>19</v>
      </c>
      <c r="F84">
        <v>254.03295089595201</v>
      </c>
      <c r="G84">
        <v>0.72956282157589902</v>
      </c>
      <c r="H84">
        <v>0.42181920915202997</v>
      </c>
      <c r="I84" s="3">
        <v>5.7532693267202699E-3</v>
      </c>
      <c r="J84" s="6">
        <v>1</v>
      </c>
      <c r="K84" t="s">
        <v>46</v>
      </c>
      <c r="L84" t="s">
        <v>33</v>
      </c>
      <c r="O84" t="str">
        <f t="shared" ref="O84:O110" si="5">_xlfn.CONCAT(ROUND(A84,3), " (",ROUND(B84,3),")")</f>
        <v>0 (0)</v>
      </c>
      <c r="P84" s="3">
        <f t="shared" ref="P84:P110" si="6">ROUND(C84,3)</f>
        <v>14.871</v>
      </c>
      <c r="Q84" s="4" t="str">
        <f t="shared" ref="Q84:Q110" si="7">IF(D84&lt;0.001, "&lt;0.001",ROUND(D84,3))</f>
        <v>&lt;0.001</v>
      </c>
      <c r="R84" s="4">
        <f t="shared" si="4"/>
        <v>0.42199999999999999</v>
      </c>
    </row>
    <row r="85" spans="1:18" x14ac:dyDescent="0.25">
      <c r="A85" s="4">
        <v>0.19359223358949501</v>
      </c>
      <c r="B85" s="4">
        <v>1.4742517263466299E-2</v>
      </c>
      <c r="C85" s="3">
        <v>13.131558887113499</v>
      </c>
      <c r="D85" s="4">
        <v>7.5953418701180495E-39</v>
      </c>
      <c r="E85" t="s">
        <v>20</v>
      </c>
      <c r="F85">
        <v>186.07629244589799</v>
      </c>
      <c r="G85">
        <v>2.5323077918102599</v>
      </c>
      <c r="H85">
        <v>0.71689896267858499</v>
      </c>
      <c r="I85" s="3">
        <v>4.4862871593616101E-3</v>
      </c>
      <c r="J85" s="6">
        <v>1</v>
      </c>
      <c r="K85" t="s">
        <v>46</v>
      </c>
      <c r="L85" t="s">
        <v>33</v>
      </c>
      <c r="O85" t="str">
        <f t="shared" si="5"/>
        <v>0.194 (0.015)</v>
      </c>
      <c r="P85" s="3">
        <f t="shared" si="6"/>
        <v>13.132</v>
      </c>
      <c r="Q85" s="4" t="str">
        <f t="shared" si="7"/>
        <v>&lt;0.001</v>
      </c>
      <c r="R85" s="4">
        <f t="shared" si="4"/>
        <v>0.71699999999999997</v>
      </c>
    </row>
    <row r="86" spans="1:18" x14ac:dyDescent="0.25">
      <c r="A86" s="4">
        <v>-2.3918744958592201E-2</v>
      </c>
      <c r="B86" s="4">
        <v>2.53254733598936E-3</v>
      </c>
      <c r="C86" s="3">
        <v>-9.4445401350210805</v>
      </c>
      <c r="D86" s="4">
        <v>5.0240562266686397E-21</v>
      </c>
      <c r="E86" t="s">
        <v>21</v>
      </c>
      <c r="F86">
        <v>4894.4012082880199</v>
      </c>
      <c r="G86">
        <v>0.26457366284199901</v>
      </c>
      <c r="H86">
        <v>0.20921965292824199</v>
      </c>
      <c r="I86" s="3">
        <v>2.3206846541843399E-3</v>
      </c>
      <c r="J86" s="6">
        <v>1</v>
      </c>
      <c r="K86" t="s">
        <v>46</v>
      </c>
      <c r="L86" t="s">
        <v>33</v>
      </c>
      <c r="O86" t="str">
        <f t="shared" si="5"/>
        <v>-0.024 (0.003)</v>
      </c>
      <c r="P86" s="3">
        <f t="shared" si="6"/>
        <v>-9.4450000000000003</v>
      </c>
      <c r="Q86" s="4" t="str">
        <f t="shared" si="7"/>
        <v>&lt;0.001</v>
      </c>
      <c r="R86" s="4">
        <f t="shared" si="4"/>
        <v>0.20899999999999999</v>
      </c>
    </row>
    <row r="87" spans="1:18" x14ac:dyDescent="0.25">
      <c r="A87" s="4">
        <v>7.3343573809254506E-2</v>
      </c>
      <c r="B87" s="4">
        <v>1.23532104031538E-2</v>
      </c>
      <c r="C87" s="3">
        <v>5.9372075287028201</v>
      </c>
      <c r="D87" s="4">
        <v>3.0645423699451201E-9</v>
      </c>
      <c r="E87" t="s">
        <v>22</v>
      </c>
      <c r="F87">
        <v>4564.1931021863502</v>
      </c>
      <c r="G87">
        <v>1.79070964974491E-2</v>
      </c>
      <c r="H87">
        <v>1.7592073538996101E-2</v>
      </c>
      <c r="I87" s="3">
        <v>9.1710477872386498E-4</v>
      </c>
      <c r="J87" s="6">
        <v>0.999999993775462</v>
      </c>
      <c r="K87" t="s">
        <v>46</v>
      </c>
      <c r="L87" t="s">
        <v>33</v>
      </c>
      <c r="O87" t="str">
        <f t="shared" si="5"/>
        <v>0.073 (0.012)</v>
      </c>
      <c r="P87" s="3">
        <f t="shared" si="6"/>
        <v>5.9370000000000003</v>
      </c>
      <c r="Q87" s="4" t="str">
        <f t="shared" si="7"/>
        <v>&lt;0.001</v>
      </c>
      <c r="R87" s="4">
        <f t="shared" si="4"/>
        <v>1.7999999999999999E-2</v>
      </c>
    </row>
    <row r="88" spans="1:18" x14ac:dyDescent="0.25">
      <c r="P88" s="3"/>
      <c r="Q88" s="4"/>
    </row>
    <row r="89" spans="1:18" x14ac:dyDescent="0.25">
      <c r="A89" s="4">
        <v>-2.4831308709402302E-3</v>
      </c>
      <c r="B89" s="4">
        <v>2.72377109389658E-3</v>
      </c>
      <c r="C89" s="3">
        <v>-0.911651818504287</v>
      </c>
      <c r="D89" s="4">
        <v>0.36198933801820199</v>
      </c>
      <c r="E89" t="s">
        <v>24</v>
      </c>
      <c r="F89">
        <v>2.2472934472934898</v>
      </c>
      <c r="G89">
        <v>7.8123539665887198E-2</v>
      </c>
      <c r="H89">
        <v>7.2462511754541506E-2</v>
      </c>
      <c r="I89" s="3">
        <v>2.16228284454223E-5</v>
      </c>
      <c r="J89" s="6">
        <v>1</v>
      </c>
      <c r="K89" t="s">
        <v>46</v>
      </c>
      <c r="L89" t="s">
        <v>33</v>
      </c>
      <c r="O89" t="str">
        <f t="shared" si="5"/>
        <v>-0.002 (0.003)</v>
      </c>
      <c r="P89" s="3">
        <f t="shared" si="6"/>
        <v>-0.91200000000000003</v>
      </c>
      <c r="Q89" s="4">
        <f t="shared" si="7"/>
        <v>0.36199999999999999</v>
      </c>
      <c r="R89" s="4">
        <f t="shared" si="4"/>
        <v>7.1999999999999995E-2</v>
      </c>
    </row>
    <row r="90" spans="1:18" x14ac:dyDescent="0.25">
      <c r="A90" s="4">
        <v>3.4358974419658198E-2</v>
      </c>
      <c r="B90" s="4">
        <v>2.7237710938965401E-3</v>
      </c>
      <c r="C90" s="3">
        <v>12.6144867667662</v>
      </c>
      <c r="D90" s="4">
        <v>5.1165257027157798E-36</v>
      </c>
      <c r="E90" t="s">
        <v>25</v>
      </c>
      <c r="F90">
        <v>2.2472934472934698</v>
      </c>
      <c r="G90">
        <v>4.0773526861679101E-2</v>
      </c>
      <c r="H90">
        <v>3.9176175997314801E-2</v>
      </c>
      <c r="I90" s="3">
        <v>4.1399363917906697E-3</v>
      </c>
      <c r="J90" s="6">
        <v>1</v>
      </c>
      <c r="K90" t="s">
        <v>46</v>
      </c>
      <c r="L90" t="s">
        <v>33</v>
      </c>
      <c r="O90" t="str">
        <f t="shared" si="5"/>
        <v>0.034 (0.003)</v>
      </c>
      <c r="P90" s="3">
        <f t="shared" si="6"/>
        <v>12.614000000000001</v>
      </c>
      <c r="Q90" s="4" t="str">
        <f t="shared" si="7"/>
        <v>&lt;0.001</v>
      </c>
      <c r="R90" s="4">
        <f t="shared" si="4"/>
        <v>3.9E-2</v>
      </c>
    </row>
    <row r="91" spans="1:18" x14ac:dyDescent="0.25">
      <c r="P91" s="3"/>
      <c r="Q91" s="4"/>
    </row>
    <row r="92" spans="1:18" x14ac:dyDescent="0.25">
      <c r="A92" s="4">
        <v>-2.30050868492385E-3</v>
      </c>
      <c r="B92" s="4">
        <v>6.7123926547280402E-3</v>
      </c>
      <c r="C92" s="3">
        <v>-0.34272558285210503</v>
      </c>
      <c r="D92" s="4">
        <v>0.73181714271044596</v>
      </c>
      <c r="E92" t="s">
        <v>27</v>
      </c>
      <c r="F92">
        <v>3.09603305495683</v>
      </c>
      <c r="G92">
        <v>4.3502338483053501E-2</v>
      </c>
      <c r="H92">
        <v>4.1688779103545799E-2</v>
      </c>
      <c r="I92" s="3">
        <v>3.05595915128798E-6</v>
      </c>
      <c r="J92" s="6">
        <v>1</v>
      </c>
      <c r="K92" t="s">
        <v>46</v>
      </c>
      <c r="L92" t="s">
        <v>33</v>
      </c>
      <c r="O92" t="str">
        <f t="shared" si="5"/>
        <v>-0.002 (0.007)</v>
      </c>
      <c r="P92" s="3">
        <f t="shared" si="6"/>
        <v>-0.34300000000000003</v>
      </c>
      <c r="Q92" s="4">
        <f t="shared" si="7"/>
        <v>0.73199999999999998</v>
      </c>
      <c r="R92" s="4">
        <f t="shared" si="4"/>
        <v>4.2000000000000003E-2</v>
      </c>
    </row>
    <row r="93" spans="1:18" x14ac:dyDescent="0.25">
      <c r="A93" s="4">
        <v>9.6328220518326596E-2</v>
      </c>
      <c r="B93" s="4">
        <v>6.2954093924104297E-3</v>
      </c>
      <c r="C93" s="3">
        <v>15.301343330341201</v>
      </c>
      <c r="D93" s="4">
        <v>7.3655985907084705E-52</v>
      </c>
      <c r="E93" t="s">
        <v>28</v>
      </c>
      <c r="F93">
        <v>3.1114083237933898</v>
      </c>
      <c r="G93">
        <v>9.9033921176719698E-3</v>
      </c>
      <c r="H93">
        <v>9.8062767141572794E-3</v>
      </c>
      <c r="I93" s="3">
        <v>6.0913508857144399E-3</v>
      </c>
      <c r="J93" s="6">
        <v>0.99952230520895802</v>
      </c>
      <c r="K93" t="s">
        <v>46</v>
      </c>
      <c r="L93" t="s">
        <v>33</v>
      </c>
      <c r="O93" t="str">
        <f t="shared" si="5"/>
        <v>0.096 (0.006)</v>
      </c>
      <c r="P93" s="3">
        <f t="shared" si="6"/>
        <v>15.301</v>
      </c>
      <c r="Q93" s="4" t="str">
        <f t="shared" si="7"/>
        <v>&lt;0.001</v>
      </c>
      <c r="R93" s="4">
        <f t="shared" si="4"/>
        <v>0.01</v>
      </c>
    </row>
    <row r="94" spans="1:18" x14ac:dyDescent="0.25">
      <c r="A94" s="4">
        <v>0.17724817684072799</v>
      </c>
      <c r="B94" s="4">
        <v>6.2911813086907603E-3</v>
      </c>
      <c r="C94" s="3">
        <v>28.174069088721701</v>
      </c>
      <c r="D94" s="4">
        <v>5.9838927805241202E-164</v>
      </c>
      <c r="E94" t="s">
        <v>29</v>
      </c>
      <c r="F94">
        <v>3.1072303978093001</v>
      </c>
      <c r="G94">
        <v>0.15878244445006001</v>
      </c>
      <c r="H94">
        <v>0.13702524163231999</v>
      </c>
      <c r="I94" s="3">
        <v>2.0651597304294399E-2</v>
      </c>
      <c r="J94" s="6">
        <v>1</v>
      </c>
      <c r="K94" t="s">
        <v>46</v>
      </c>
      <c r="L94" t="s">
        <v>33</v>
      </c>
      <c r="O94" t="str">
        <f t="shared" si="5"/>
        <v>0.177 (0.006)</v>
      </c>
      <c r="P94" s="3">
        <f t="shared" si="6"/>
        <v>28.173999999999999</v>
      </c>
      <c r="Q94" s="4" t="str">
        <f t="shared" si="7"/>
        <v>&lt;0.001</v>
      </c>
      <c r="R94" s="4">
        <f t="shared" si="4"/>
        <v>0.13700000000000001</v>
      </c>
    </row>
    <row r="95" spans="1:18" x14ac:dyDescent="0.25">
      <c r="A95" s="4">
        <v>0.24497279909293801</v>
      </c>
      <c r="B95" s="4">
        <v>4.8883298329993599E-3</v>
      </c>
      <c r="C95" s="3">
        <v>50.113803172448499</v>
      </c>
      <c r="D95" s="4">
        <v>0</v>
      </c>
      <c r="E95" t="s">
        <v>30</v>
      </c>
      <c r="F95">
        <v>3.1769949959516102</v>
      </c>
      <c r="G95">
        <v>0.66446322044608996</v>
      </c>
      <c r="H95">
        <v>0.399205709254428</v>
      </c>
      <c r="I95" s="3">
        <v>6.5338509518526794E-2</v>
      </c>
      <c r="J95" s="6">
        <v>1</v>
      </c>
      <c r="K95" t="s">
        <v>46</v>
      </c>
      <c r="L95" t="s">
        <v>33</v>
      </c>
      <c r="O95" t="str">
        <f t="shared" si="5"/>
        <v>0.245 (0.005)</v>
      </c>
      <c r="P95" s="3">
        <f t="shared" si="6"/>
        <v>50.113999999999997</v>
      </c>
      <c r="Q95" s="4" t="str">
        <f t="shared" si="7"/>
        <v>&lt;0.001</v>
      </c>
      <c r="R95" s="4">
        <f t="shared" si="4"/>
        <v>0.39900000000000002</v>
      </c>
    </row>
    <row r="96" spans="1:18" x14ac:dyDescent="0.25">
      <c r="A96" s="4">
        <v>0.243844908535365</v>
      </c>
      <c r="B96" s="4">
        <v>6.63192613617683E-3</v>
      </c>
      <c r="C96" s="3">
        <v>36.768339020726302</v>
      </c>
      <c r="D96" s="4">
        <v>1.25493017005787E-266</v>
      </c>
      <c r="E96" t="s">
        <v>31</v>
      </c>
      <c r="F96">
        <v>3.1036039037525902</v>
      </c>
      <c r="G96">
        <v>0.432566721178955</v>
      </c>
      <c r="H96">
        <v>0.30195223355667999</v>
      </c>
      <c r="I96" s="3">
        <v>3.5172441848136199E-2</v>
      </c>
      <c r="J96" s="6">
        <v>1</v>
      </c>
      <c r="K96" t="s">
        <v>46</v>
      </c>
      <c r="L96" t="s">
        <v>33</v>
      </c>
      <c r="O96" t="str">
        <f t="shared" si="5"/>
        <v>0.244 (0.007)</v>
      </c>
      <c r="P96" s="3">
        <f t="shared" si="6"/>
        <v>36.768000000000001</v>
      </c>
      <c r="Q96" s="4" t="str">
        <f t="shared" si="7"/>
        <v>&lt;0.001</v>
      </c>
      <c r="R96" s="4">
        <f t="shared" si="4"/>
        <v>0.30199999999999999</v>
      </c>
    </row>
    <row r="97" spans="1:18" x14ac:dyDescent="0.25">
      <c r="A97" s="4">
        <v>0.208224581403335</v>
      </c>
      <c r="B97" s="4">
        <v>6.0775466383631996E-3</v>
      </c>
      <c r="C97" s="3">
        <v>34.261288936717001</v>
      </c>
      <c r="D97" s="4">
        <v>9.2852948331138895E-235</v>
      </c>
      <c r="E97" t="s">
        <v>32</v>
      </c>
      <c r="F97">
        <v>3.12247485325994</v>
      </c>
      <c r="G97">
        <v>0.497389701857678</v>
      </c>
      <c r="H97">
        <v>0.33217117844513699</v>
      </c>
      <c r="I97" s="3">
        <v>3.05394978839638E-2</v>
      </c>
      <c r="J97" s="6">
        <v>1</v>
      </c>
      <c r="K97" t="s">
        <v>46</v>
      </c>
      <c r="L97" t="s">
        <v>33</v>
      </c>
      <c r="O97" t="str">
        <f t="shared" si="5"/>
        <v>0.208 (0.006)</v>
      </c>
      <c r="P97" s="3">
        <f t="shared" si="6"/>
        <v>34.261000000000003</v>
      </c>
      <c r="Q97" s="4" t="str">
        <f t="shared" si="7"/>
        <v>&lt;0.001</v>
      </c>
      <c r="R97" s="4">
        <f t="shared" si="4"/>
        <v>0.33200000000000002</v>
      </c>
    </row>
    <row r="98" spans="1:18" x14ac:dyDescent="0.25">
      <c r="P98" s="3"/>
      <c r="Q98" s="4"/>
    </row>
    <row r="99" spans="1:18" x14ac:dyDescent="0.25">
      <c r="A99" s="4">
        <v>3.5858877185588399E-3</v>
      </c>
      <c r="B99" s="4">
        <v>9.4914168941916798E-3</v>
      </c>
      <c r="C99" s="3">
        <v>0.37780320457246402</v>
      </c>
      <c r="D99" s="4">
        <v>0.70559040418875296</v>
      </c>
      <c r="E99" t="s">
        <v>34</v>
      </c>
      <c r="F99">
        <v>2.1408045977011398</v>
      </c>
      <c r="G99">
        <v>6.7202770631583097E-4</v>
      </c>
      <c r="H99">
        <v>6.7157638837593505E-4</v>
      </c>
      <c r="I99" s="3">
        <v>3.7135200415816502E-6</v>
      </c>
      <c r="J99" s="6">
        <v>0.14472949420973899</v>
      </c>
      <c r="K99" t="s">
        <v>46</v>
      </c>
      <c r="L99" t="s">
        <v>33</v>
      </c>
      <c r="O99" t="str">
        <f t="shared" si="5"/>
        <v>0.004 (0.009)</v>
      </c>
      <c r="P99" s="3">
        <f t="shared" si="6"/>
        <v>0.378</v>
      </c>
      <c r="Q99" s="4">
        <f t="shared" si="7"/>
        <v>0.70599999999999996</v>
      </c>
      <c r="R99" s="4" t="str">
        <f t="shared" si="4"/>
        <v>&lt;0.001</v>
      </c>
    </row>
    <row r="100" spans="1:18" x14ac:dyDescent="0.25">
      <c r="A100" s="4">
        <v>-1.0348535021622401E-2</v>
      </c>
      <c r="B100" s="4">
        <v>8.8969478018187994E-3</v>
      </c>
      <c r="C100" s="3">
        <v>-1.16315564080379</v>
      </c>
      <c r="D100" s="4">
        <v>0.244813472694689</v>
      </c>
      <c r="E100" t="s">
        <v>35</v>
      </c>
      <c r="F100">
        <v>2.1617011378675102</v>
      </c>
      <c r="G100">
        <v>4.8739396063811498E-4</v>
      </c>
      <c r="H100">
        <v>4.8715652349067999E-4</v>
      </c>
      <c r="I100" s="3">
        <v>3.5198986577000803E-5</v>
      </c>
      <c r="J100" s="6">
        <v>0.113515477560791</v>
      </c>
      <c r="K100" t="s">
        <v>46</v>
      </c>
      <c r="L100" t="s">
        <v>33</v>
      </c>
      <c r="O100" t="str">
        <f t="shared" si="5"/>
        <v>-0.01 (0.009)</v>
      </c>
      <c r="P100" s="3">
        <f t="shared" si="6"/>
        <v>-1.163</v>
      </c>
      <c r="Q100" s="4">
        <f t="shared" si="7"/>
        <v>0.245</v>
      </c>
      <c r="R100" s="4" t="str">
        <f t="shared" si="4"/>
        <v>&lt;0.001</v>
      </c>
    </row>
    <row r="101" spans="1:18" x14ac:dyDescent="0.25">
      <c r="A101" s="4">
        <v>-2.2701732129060001E-2</v>
      </c>
      <c r="B101" s="4">
        <v>8.8969478018186502E-3</v>
      </c>
      <c r="C101" s="3">
        <v>-2.5516314847232802</v>
      </c>
      <c r="D101" s="4">
        <v>1.07470234505034E-2</v>
      </c>
      <c r="E101" t="s">
        <v>36</v>
      </c>
      <c r="F101">
        <v>2.16170113786746</v>
      </c>
      <c r="G101" s="1">
        <v>5.9083182194710602E-5</v>
      </c>
      <c r="H101" s="1">
        <v>5.9079691578528997E-5</v>
      </c>
      <c r="I101" s="3">
        <v>1.6939102735857899E-4</v>
      </c>
      <c r="J101" s="6">
        <v>5.61845166178696E-2</v>
      </c>
      <c r="K101" t="s">
        <v>46</v>
      </c>
      <c r="L101" t="s">
        <v>33</v>
      </c>
      <c r="O101" t="str">
        <f t="shared" si="5"/>
        <v>-0.023 (0.009)</v>
      </c>
      <c r="P101" s="3">
        <f t="shared" si="6"/>
        <v>-2.552</v>
      </c>
      <c r="Q101" s="4">
        <f t="shared" si="7"/>
        <v>1.0999999999999999E-2</v>
      </c>
      <c r="R101" s="4" t="str">
        <f t="shared" si="4"/>
        <v>&lt;0.001</v>
      </c>
    </row>
    <row r="102" spans="1:18" x14ac:dyDescent="0.25">
      <c r="A102" s="4">
        <v>-8.5601664443875097E-2</v>
      </c>
      <c r="B102" s="4">
        <v>6.8996227604598802E-3</v>
      </c>
      <c r="C102" s="3">
        <v>-12.406716630137799</v>
      </c>
      <c r="D102" s="4">
        <v>6.5398550355663796E-35</v>
      </c>
      <c r="E102" t="s">
        <v>37</v>
      </c>
      <c r="F102">
        <v>2.2827274145732499</v>
      </c>
      <c r="G102">
        <v>1.9675130062918898E-2</v>
      </c>
      <c r="H102">
        <v>1.9295488810936099E-2</v>
      </c>
      <c r="I102" s="3">
        <v>4.0046837314757803E-3</v>
      </c>
      <c r="J102" s="6">
        <v>0.99999999961933195</v>
      </c>
      <c r="K102" t="s">
        <v>46</v>
      </c>
      <c r="L102" t="s">
        <v>33</v>
      </c>
      <c r="O102" t="str">
        <f t="shared" si="5"/>
        <v>-0.086 (0.007)</v>
      </c>
      <c r="P102" s="3">
        <f t="shared" si="6"/>
        <v>-12.407</v>
      </c>
      <c r="Q102" s="4" t="str">
        <f t="shared" si="7"/>
        <v>&lt;0.001</v>
      </c>
      <c r="R102" s="4">
        <f t="shared" si="4"/>
        <v>1.9E-2</v>
      </c>
    </row>
    <row r="103" spans="1:18" x14ac:dyDescent="0.25">
      <c r="A103" s="4">
        <v>-7.6561703425351402E-2</v>
      </c>
      <c r="B103" s="4">
        <v>9.3696669898863504E-3</v>
      </c>
      <c r="C103" s="3">
        <v>-8.1712299389073699</v>
      </c>
      <c r="D103" s="4">
        <v>3.7038338755474601E-16</v>
      </c>
      <c r="E103" t="s">
        <v>38</v>
      </c>
      <c r="F103">
        <v>2.1447339678577002</v>
      </c>
      <c r="G103">
        <v>9.2933820521034997E-3</v>
      </c>
      <c r="H103">
        <v>9.2078103526331608E-3</v>
      </c>
      <c r="I103" s="3">
        <v>1.7371181618308601E-3</v>
      </c>
      <c r="J103" s="6">
        <v>0.99900542825042804</v>
      </c>
      <c r="K103" t="s">
        <v>46</v>
      </c>
      <c r="L103" t="s">
        <v>33</v>
      </c>
      <c r="O103" t="str">
        <f t="shared" si="5"/>
        <v>-0.077 (0.009)</v>
      </c>
      <c r="P103" s="3">
        <f t="shared" si="6"/>
        <v>-8.1709999999999994</v>
      </c>
      <c r="Q103" s="4" t="str">
        <f t="shared" si="7"/>
        <v>&lt;0.001</v>
      </c>
      <c r="R103" s="4">
        <f t="shared" si="4"/>
        <v>8.9999999999999993E-3</v>
      </c>
    </row>
    <row r="104" spans="1:18" x14ac:dyDescent="0.25">
      <c r="A104" s="4">
        <v>-7.2727797174860401E-2</v>
      </c>
      <c r="B104" s="4">
        <v>8.5836817455667604E-3</v>
      </c>
      <c r="C104" s="3">
        <v>-8.4727974930363992</v>
      </c>
      <c r="D104" s="4">
        <v>2.9940674949637401E-17</v>
      </c>
      <c r="E104" t="s">
        <v>39</v>
      </c>
      <c r="F104">
        <v>2.1746863496356101</v>
      </c>
      <c r="G104">
        <v>2.08605276679702E-2</v>
      </c>
      <c r="H104">
        <v>2.04342582582006E-2</v>
      </c>
      <c r="I104" s="3">
        <v>1.8677044369160799E-3</v>
      </c>
      <c r="J104" s="6">
        <v>0.99999999994438804</v>
      </c>
      <c r="K104" t="s">
        <v>46</v>
      </c>
      <c r="L104" t="s">
        <v>33</v>
      </c>
      <c r="O104" t="str">
        <f t="shared" si="5"/>
        <v>-0.073 (0.009)</v>
      </c>
      <c r="P104" s="3">
        <f t="shared" si="6"/>
        <v>-8.4730000000000008</v>
      </c>
      <c r="Q104" s="4" t="str">
        <f t="shared" si="7"/>
        <v>&lt;0.001</v>
      </c>
      <c r="R104" s="4">
        <f t="shared" si="4"/>
        <v>0.02</v>
      </c>
    </row>
    <row r="105" spans="1:18" x14ac:dyDescent="0.25">
      <c r="A105" s="4">
        <v>1.53152110374847E-2</v>
      </c>
      <c r="B105" s="4">
        <v>9.4914168941917093E-3</v>
      </c>
      <c r="C105" s="3">
        <v>1.61358532748223</v>
      </c>
      <c r="D105" s="4">
        <v>0.106670961500949</v>
      </c>
      <c r="E105" t="s">
        <v>40</v>
      </c>
      <c r="F105">
        <v>2.1408045977011301</v>
      </c>
      <c r="G105">
        <v>6.3854473270970997E-4</v>
      </c>
      <c r="H105">
        <v>6.3813725352772398E-4</v>
      </c>
      <c r="I105" s="3">
        <v>6.7738935838113106E-5</v>
      </c>
      <c r="J105" s="6">
        <v>0.13879812753728499</v>
      </c>
      <c r="K105" t="s">
        <v>46</v>
      </c>
      <c r="L105" t="s">
        <v>33</v>
      </c>
      <c r="O105" t="str">
        <f t="shared" si="5"/>
        <v>0.015 (0.009)</v>
      </c>
      <c r="P105" s="3">
        <f t="shared" si="6"/>
        <v>1.6140000000000001</v>
      </c>
      <c r="Q105" s="4">
        <f t="shared" si="7"/>
        <v>0.107</v>
      </c>
      <c r="R105" s="4" t="str">
        <f t="shared" si="4"/>
        <v>&lt;0.001</v>
      </c>
    </row>
    <row r="106" spans="1:18" x14ac:dyDescent="0.25">
      <c r="A106" s="4">
        <v>-4.3894224196586902E-3</v>
      </c>
      <c r="B106" s="4">
        <v>8.8969478018187508E-3</v>
      </c>
      <c r="C106" s="3">
        <v>-0.49336272589588398</v>
      </c>
      <c r="D106" s="4">
        <v>0.621774705579623</v>
      </c>
      <c r="E106" t="s">
        <v>41</v>
      </c>
      <c r="F106">
        <v>2.1617011378674702</v>
      </c>
      <c r="G106" s="1">
        <v>6.3262402317740801E-6</v>
      </c>
      <c r="H106" s="1">
        <v>6.32620021071179E-6</v>
      </c>
      <c r="I106" s="3">
        <v>6.3326745223246703E-6</v>
      </c>
      <c r="J106" s="6">
        <v>5.0642203277730197E-2</v>
      </c>
      <c r="K106" t="s">
        <v>46</v>
      </c>
      <c r="L106" t="s">
        <v>33</v>
      </c>
      <c r="O106" t="str">
        <f t="shared" si="5"/>
        <v>-0.004 (0.009)</v>
      </c>
      <c r="P106" s="3">
        <f t="shared" si="6"/>
        <v>-0.49299999999999999</v>
      </c>
      <c r="Q106" s="4">
        <f t="shared" si="7"/>
        <v>0.622</v>
      </c>
      <c r="R106" s="4" t="str">
        <f t="shared" si="4"/>
        <v>&lt;0.001</v>
      </c>
    </row>
    <row r="107" spans="1:18" x14ac:dyDescent="0.25">
      <c r="A107" s="4">
        <v>-1.17404446923859E-2</v>
      </c>
      <c r="B107" s="4">
        <v>8.8969478018186901E-3</v>
      </c>
      <c r="C107" s="3">
        <v>-1.3196036386754999</v>
      </c>
      <c r="D107" s="4">
        <v>0.18701866765369601</v>
      </c>
      <c r="E107" t="s">
        <v>42</v>
      </c>
      <c r="F107">
        <v>2.1617011378674702</v>
      </c>
      <c r="G107">
        <v>2.0785983803369001E-4</v>
      </c>
      <c r="H107">
        <v>2.0781664130028801E-4</v>
      </c>
      <c r="I107" s="3">
        <v>4.5304517163335897E-5</v>
      </c>
      <c r="J107" s="6">
        <v>7.3619345804106506E-2</v>
      </c>
      <c r="K107" t="s">
        <v>46</v>
      </c>
      <c r="L107" t="s">
        <v>33</v>
      </c>
      <c r="O107" t="str">
        <f t="shared" si="5"/>
        <v>-0.012 (0.009)</v>
      </c>
      <c r="P107" s="3">
        <f t="shared" si="6"/>
        <v>-1.32</v>
      </c>
      <c r="Q107" s="4">
        <f t="shared" si="7"/>
        <v>0.187</v>
      </c>
      <c r="R107" s="4" t="str">
        <f t="shared" si="4"/>
        <v>&lt;0.001</v>
      </c>
    </row>
    <row r="108" spans="1:18" x14ac:dyDescent="0.25">
      <c r="A108" s="4">
        <v>-1.84964013363248E-2</v>
      </c>
      <c r="B108" s="4">
        <v>6.8996227604598802E-3</v>
      </c>
      <c r="C108" s="3">
        <v>-2.6807844397411702</v>
      </c>
      <c r="D108" s="4">
        <v>7.3654350122111098E-3</v>
      </c>
      <c r="E108" t="s">
        <v>43</v>
      </c>
      <c r="F108">
        <v>2.2827274145732002</v>
      </c>
      <c r="G108">
        <v>1.3216654965773501E-3</v>
      </c>
      <c r="H108">
        <v>1.3199210025301E-3</v>
      </c>
      <c r="I108" s="3">
        <v>1.86972736998414E-4</v>
      </c>
      <c r="J108" s="6">
        <v>0.27921149902919101</v>
      </c>
      <c r="K108" t="s">
        <v>46</v>
      </c>
      <c r="L108" t="s">
        <v>33</v>
      </c>
      <c r="O108" t="str">
        <f t="shared" si="5"/>
        <v>-0.018 (0.007)</v>
      </c>
      <c r="P108" s="3">
        <f t="shared" si="6"/>
        <v>-2.681</v>
      </c>
      <c r="Q108" s="4">
        <f t="shared" si="7"/>
        <v>7.0000000000000001E-3</v>
      </c>
      <c r="R108" s="4">
        <f t="shared" si="4"/>
        <v>1E-3</v>
      </c>
    </row>
    <row r="109" spans="1:18" x14ac:dyDescent="0.25">
      <c r="A109" s="4">
        <v>-1.69613136418762E-2</v>
      </c>
      <c r="B109" s="4">
        <v>9.3696669898862602E-3</v>
      </c>
      <c r="C109" s="3">
        <v>-1.8102365495149799</v>
      </c>
      <c r="D109" s="4">
        <v>7.0310043488657395E-2</v>
      </c>
      <c r="E109" t="s">
        <v>44</v>
      </c>
      <c r="F109">
        <v>2.1447339678576798</v>
      </c>
      <c r="G109">
        <v>6.9739260427109401E-4</v>
      </c>
      <c r="H109">
        <v>6.9690658677161205E-4</v>
      </c>
      <c r="I109" s="3">
        <v>8.5256039885517305E-5</v>
      </c>
      <c r="J109" s="6">
        <v>0.149299611294826</v>
      </c>
      <c r="K109" t="s">
        <v>46</v>
      </c>
      <c r="L109" t="s">
        <v>33</v>
      </c>
      <c r="O109" t="str">
        <f t="shared" si="5"/>
        <v>-0.017 (0.009)</v>
      </c>
      <c r="P109" s="3">
        <f t="shared" si="6"/>
        <v>-1.81</v>
      </c>
      <c r="Q109" s="4">
        <f t="shared" si="7"/>
        <v>7.0000000000000007E-2</v>
      </c>
      <c r="R109" s="4" t="str">
        <f t="shared" si="4"/>
        <v>&lt;0.001</v>
      </c>
    </row>
    <row r="110" spans="1:18" x14ac:dyDescent="0.25">
      <c r="A110" s="4">
        <v>1.93573775574413E-2</v>
      </c>
      <c r="B110" s="4">
        <v>8.5836817455668193E-3</v>
      </c>
      <c r="C110" s="3">
        <v>2.2551369134158299</v>
      </c>
      <c r="D110" s="4">
        <v>2.4161289908886899E-2</v>
      </c>
      <c r="E110" t="s">
        <v>45</v>
      </c>
      <c r="F110">
        <v>2.1746863496356199</v>
      </c>
      <c r="G110">
        <v>8.6329018812606698E-4</v>
      </c>
      <c r="H110">
        <v>8.6254556100643796E-4</v>
      </c>
      <c r="I110" s="3">
        <v>1.3231233234556301E-4</v>
      </c>
      <c r="J110" s="6">
        <v>0.18074444228508799</v>
      </c>
      <c r="K110" t="s">
        <v>46</v>
      </c>
      <c r="L110" t="s">
        <v>33</v>
      </c>
      <c r="O110" t="str">
        <f t="shared" si="5"/>
        <v>0.019 (0.009)</v>
      </c>
      <c r="P110" s="3">
        <f t="shared" si="6"/>
        <v>2.2549999999999999</v>
      </c>
      <c r="Q110" s="4">
        <f t="shared" si="7"/>
        <v>2.4E-2</v>
      </c>
      <c r="R110" s="4" t="str">
        <f t="shared" si="4"/>
        <v>&lt;0.001</v>
      </c>
    </row>
  </sheetData>
  <autoFilter ref="A1:N110" xr:uid="{6EBB479C-E206-4D02-B74B-3A6FAB7602A2}">
    <filterColumn colId="11">
      <filters>
        <filter val="classifier-method-interaction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RegressionDetailResults_v2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Allen Baacke</cp:lastModifiedBy>
  <dcterms:created xsi:type="dcterms:W3CDTF">2025-10-06T15:23:57Z</dcterms:created>
  <dcterms:modified xsi:type="dcterms:W3CDTF">2025-10-06T16:00:39Z</dcterms:modified>
</cp:coreProperties>
</file>